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e" sheetId="1" state="visible" r:id="rId1"/>
    <sheet xmlns:r="http://schemas.openxmlformats.org/officeDocument/2006/relationships" name="Batch Plan" sheetId="2" state="visible" r:id="rId2"/>
    <sheet xmlns:r="http://schemas.openxmlformats.org/officeDocument/2006/relationships" name="Products Review" sheetId="3" state="visible" r:id="rId3"/>
    <sheet xmlns:r="http://schemas.openxmlformats.org/officeDocument/2006/relationships" name="Seasonality Evidence" sheetId="4" state="visible" r:id="rId4"/>
    <sheet xmlns:r="http://schemas.openxmlformats.org/officeDocument/2006/relationships" name="Research Evidence" sheetId="5" state="visible" r:id="rId5"/>
    <sheet xmlns:r="http://schemas.openxmlformats.org/officeDocument/2006/relationships" name="Field Matrix" sheetId="6" state="visible" r:id="rId6"/>
  </sheets>
  <definedNames>
    <definedName name="_xlnm._FilterDatabase" localSheetId="1" hidden="1">'Batch Plan'!$A$1:$F$6</definedName>
    <definedName name="_xlnm._FilterDatabase" localSheetId="2" hidden="1">'Products Review'!$A$1:$AJ$101</definedName>
    <definedName name="_xlnm._FilterDatabase" localSheetId="3" hidden="1">'Seasonality Evidence'!$A$1:$T$1</definedName>
    <definedName name="_xlnm._FilterDatabase" localSheetId="4" hidden="1">'Research Evidence'!$A$1:$M$1</definedName>
    <definedName name="_xlnm._FilterDatabase" localSheetId="5" hidden="1">'Field Matrix'!$A$1:$E$11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D9EAF7"/>
      </patternFill>
    </fill>
    <fill>
      <patternFill patternType="solid">
        <fgColor rgb="001F4E78"/>
      </patternFill>
    </fill>
    <fill>
      <patternFill patternType="solid">
        <fgColor rgb="00F2F2F2"/>
      </patternFill>
    </fill>
    <fill>
      <patternFill patternType="solid">
        <fgColor rgb="00E2F0D9"/>
      </patternFill>
    </fill>
    <fill>
      <patternFill patternType="solid">
        <fgColor rgb="00FFF2CC"/>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7DE"/>
      </left>
      <right style="thin">
        <color rgb="00D0D7DE"/>
      </right>
      <top style="thin">
        <color rgb="00D0D7DE"/>
      </top>
      <bottom style="thin">
        <color rgb="00D0D7DE"/>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3" borderId="2" applyAlignment="1" pivotButton="0" quotePrefix="0" xfId="0">
      <alignment vertical="top" wrapText="1"/>
    </xf>
    <xf numFmtId="0" fontId="0" fillId="0" borderId="2" applyAlignment="1" pivotButton="0" quotePrefix="0" xfId="0">
      <alignment vertical="top" wrapText="1"/>
    </xf>
    <xf numFmtId="0" fontId="3" fillId="3" borderId="2" applyAlignment="1" pivotButton="0" quotePrefix="0" xfId="0">
      <alignment horizontal="center" vertical="center" wrapText="1"/>
    </xf>
    <xf numFmtId="0" fontId="2" fillId="2" borderId="2" applyAlignment="1" pivotButton="0" quotePrefix="0" xfId="0">
      <alignment horizontal="center" vertical="center" wrapText="1"/>
    </xf>
    <xf numFmtId="0" fontId="2" fillId="5" borderId="2" applyAlignment="1" pivotButton="0" quotePrefix="0" xfId="0">
      <alignment horizontal="center" vertical="center" wrapText="1"/>
    </xf>
    <xf numFmtId="0" fontId="2" fillId="6" borderId="2" applyAlignment="1" pivotButton="0" quotePrefix="0" xfId="0">
      <alignment horizontal="center" vertical="center" wrapText="1"/>
    </xf>
    <xf numFmtId="0" fontId="2" fillId="2" borderId="2" applyAlignment="1" pivotButton="0" quotePrefix="0" xfId="0">
      <alignment vertical="top" wrapText="1"/>
    </xf>
    <xf numFmtId="0" fontId="2" fillId="5" borderId="2" applyAlignment="1" pivotButton="0" quotePrefix="0" xfId="0">
      <alignment vertical="top" wrapText="1"/>
    </xf>
    <xf numFmtId="0" fontId="2"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4" customWidth="1" min="1" max="1"/>
    <col width="108" customWidth="1" min="2" max="2"/>
  </cols>
  <sheetData>
    <row r="1">
      <c r="A1" s="8" t="inlineStr">
        <is>
          <t>Recommendation Product Data Review Scope</t>
        </is>
      </c>
      <c r="B1" s="8" t="inlineStr"/>
    </row>
    <row r="2">
      <c r="A2" s="9" t="inlineStr">
        <is>
          <t>Current workbook status</t>
        </is>
      </c>
      <c r="B2" s="9" t="inlineStr">
        <is>
          <t>Prepared for multi-batch catalog research with locality-aware seasonality evidence.</t>
        </is>
      </c>
    </row>
    <row r="3">
      <c r="A3" s="9" t="inlineStr">
        <is>
          <t>Catalog product count</t>
        </is>
      </c>
      <c r="B3" s="9" t="n">
        <v>100</v>
      </c>
    </row>
    <row r="4">
      <c r="A4" s="9" t="inlineStr">
        <is>
          <t>Products missing ProductInfo in seed</t>
        </is>
      </c>
      <c r="B4" s="9" t="inlineStr">
        <is>
          <t>121, 122</t>
        </is>
      </c>
    </row>
    <row r="5">
      <c r="A5" s="9" t="inlineStr">
        <is>
          <t>Research policy - domestic</t>
        </is>
      </c>
      <c r="B5" s="9" t="inlineStr">
        <is>
          <t>Only use extremely trustworthy Vietnam sources.</t>
        </is>
      </c>
    </row>
    <row r="6">
      <c r="A6" s="9" t="inlineStr">
        <is>
          <t>Research policy - imported</t>
        </is>
      </c>
      <c r="B6" s="9" t="inlineStr">
        <is>
          <t>Prefer origin-country primary/industry sources or high-trust international references.</t>
        </is>
      </c>
    </row>
    <row r="7">
      <c r="A7" s="9" t="inlineStr">
        <is>
          <t>Seasonality rule</t>
        </is>
      </c>
      <c r="B7" s="9" t="inlineStr">
        <is>
          <t>Do not compress to a single generic season when a product has multiple windows or locality-specific timing.</t>
        </is>
      </c>
    </row>
    <row r="8">
      <c r="A8" s="9" t="inlineStr">
        <is>
          <t>Uncertainty rule</t>
        </is>
      </c>
      <c r="B8" s="9" t="inlineStr">
        <is>
          <t>Populate the column `Tôi chưa chắc chắn` whenever sources are missing, conflicting, or only partially applicable.</t>
        </is>
      </c>
    </row>
    <row r="9">
      <c r="A9" s="9" t="inlineStr">
        <is>
          <t>Workbook layout</t>
        </is>
      </c>
      <c r="B9" s="9" t="inlineStr">
        <is>
          <t>Products Review = summary per product; Seasonality Evidence = locality/window rows; Research Evidence = non-seasonality claims; Batch Plan = execution order.</t>
        </is>
      </c>
    </row>
    <row r="10">
      <c r="A10" s="9" t="inlineStr">
        <is>
          <t>Current recommendation caveat</t>
        </is>
      </c>
      <c r="B10" s="9" t="inlineStr">
        <is>
          <t>Application code still uses heuristic seasonality based on month + keyword matching, not authoritative crop calendars.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2" customWidth="1" min="1" max="1"/>
    <col width="72" customWidth="1" min="2" max="2"/>
    <col width="72" customWidth="1" min="3" max="3"/>
    <col width="14" customWidth="1" min="4" max="4"/>
    <col width="72" customWidth="1" min="5" max="5"/>
    <col width="72" customWidth="1" min="6" max="6"/>
  </cols>
  <sheetData>
    <row r="1">
      <c r="A1" s="10" t="inlineStr">
        <is>
          <t>Batch</t>
        </is>
      </c>
      <c r="B1" s="10" t="inlineStr">
        <is>
          <t>Focus</t>
        </is>
      </c>
      <c r="C1" s="10" t="inlineStr">
        <is>
          <t>Criteria</t>
        </is>
      </c>
      <c r="D1" s="10" t="inlineStr">
        <is>
          <t>Target Count</t>
        </is>
      </c>
      <c r="E1" s="10" t="inlineStr">
        <is>
          <t>Product IDs</t>
        </is>
      </c>
      <c r="F1" s="10" t="inlineStr">
        <is>
          <t>Representative Products</t>
        </is>
      </c>
    </row>
    <row r="2">
      <c r="A2" s="9" t="inlineStr">
        <is>
          <t>B1</t>
        </is>
      </c>
      <c r="B2" s="9" t="inlineStr">
        <is>
          <t>Trái cây nhập khẩu hoặc ngoại nguồn, cần đối chiếu chính xác theo nguồn gốc xuất xứ.</t>
        </is>
      </c>
      <c r="C2" s="9" t="inlineStr">
        <is>
          <t>Imported fruits or foreign-origin fruits requiring origin-country sourcing first.</t>
        </is>
      </c>
      <c r="D2" s="9" t="n">
        <v>11</v>
      </c>
      <c r="E2" s="9" t="inlineStr">
        <is>
          <t>61, 62, 63, 68, 71, 73, 74, 75, 76, 77, 78</t>
        </is>
      </c>
      <c r="F2" s="9" t="inlineStr">
        <is>
          <t>Táo Fuji Nhật, Cam Cara ruột đỏ, Nho Mỹ không hạt, Chuối già Nam Mỹ, Măng cụt, Lựu đỏ Mỹ, Dưa lưới Nhật, Mận đỏ Mỹ ...</t>
        </is>
      </c>
    </row>
    <row r="3">
      <c r="A3" s="9" t="inlineStr">
        <is>
          <t>B2</t>
        </is>
      </c>
      <c r="B3" s="9" t="inlineStr">
        <is>
          <t>Thiếu metadata nền hoặc origin/classification chưa đủ để tra cứu ngoài ngay.</t>
        </is>
      </c>
      <c r="C3" s="9" t="inlineStr">
        <is>
          <t>Hybrid-origin/imported non-fruit items or rows blocked by missing seed metadata.</t>
        </is>
      </c>
      <c r="D3" s="9" t="n">
        <v>6</v>
      </c>
      <c r="E3" s="9" t="inlineStr">
        <is>
          <t>46, 52, 53, 115, 121, 122</t>
        </is>
      </c>
      <c r="F3" s="9" t="inlineStr">
        <is>
          <t>Khoai lang Nhật, Nấm hương khô, Nấm linh chi đỏ, Tỏi tây, khoai mỡ, Rau muống</t>
        </is>
      </c>
    </row>
    <row r="4">
      <c r="A4" s="9" t="inlineStr">
        <is>
          <t>B3</t>
        </is>
      </c>
      <c r="B4" s="9" t="inlineStr">
        <is>
          <t>Trái cây nội địa và đặc sản vùng miền, ưu tiên peak season + khác biệt theo tỉnh/vùng.</t>
        </is>
      </c>
      <c r="C4" s="9" t="inlineStr">
        <is>
          <t>Domestic fruits and regional specialties with strong locality-sensitive seasonality.</t>
        </is>
      </c>
      <c r="D4" s="9" t="n">
        <v>12</v>
      </c>
      <c r="E4" s="9" t="inlineStr">
        <is>
          <t>64, 65, 66, 67, 69, 70, 72, 116, 117, 118, 119, 120</t>
        </is>
      </c>
      <c r="F4" s="9" t="inlineStr">
        <is>
          <t>Xoài cát Hòa Lộc, Dưa hấu không hạt, Bơ Booth 7, Dâu tây Đà Lạt, Đu đủ vàng, Thanh long ruột đỏ, Mít Thái siêu ngọt, Chuối già Việt Nam ...</t>
        </is>
      </c>
    </row>
    <row r="5">
      <c r="A5" s="9" t="inlineStr">
        <is>
          <t>B4</t>
        </is>
      </c>
      <c r="B5" s="9" t="inlineStr">
        <is>
          <t>Rau lá, rau thơm và nhóm thân/mầm; thường có quanh năm nhưng peak và vùng trồng khác nhau.</t>
        </is>
      </c>
      <c r="C5" s="9" t="inlineStr">
        <is>
          <t>Leafy greens, herbs, stems and sprouts; often year-round but peak differs by region.</t>
        </is>
      </c>
      <c r="D5" s="9" t="n">
        <v>40</v>
      </c>
      <c r="E5" s="9" t="inlineStr">
        <is>
          <t>1, 2, 3, 4, 5, 6, 7, 8, 9, 15, 16, 17, 18, 19, 20, 21, 22, 30, 31, 32, 33, 34, 35, 36, 37, 38, 39, 55, 56, 57, 58, 59, 60, 101, 102, 103, 104, 105, 113, 114</t>
        </is>
      </c>
      <c r="F5" s="9" t="inlineStr">
        <is>
          <t>Rau muống, Cải bó xôi, Rau lang, Cải thìa, Rau dền đỏ, Bông cải xanh, Súp lơ trắng, Măng tây xanh ...</t>
        </is>
      </c>
    </row>
    <row r="6">
      <c r="A6" s="9" t="inlineStr">
        <is>
          <t>B5</t>
        </is>
      </c>
      <c r="B6" s="9" t="inlineStr">
        <is>
          <t>Rau ăn quả, củ/rễ, nấm và nhóm còn lại; kiểm tra seasonality/cultivation theo vùng hoặc mô hình trồng.</t>
        </is>
      </c>
      <c r="C6" s="9" t="inlineStr">
        <is>
          <t>Domestic fruiting vegetables, roots/tubers, mushrooms and remaining products.</t>
        </is>
      </c>
      <c r="D6" s="9" t="n">
        <v>31</v>
      </c>
      <c r="E6" s="9" t="inlineStr">
        <is>
          <t>10, 11, 12, 13, 14, 23, 24, 25, 26, 27, 28, 29, 40, 41, 42, 43, 44, 45, 47, 48, 49, 50, 51, 54, 106, 107, 108, 109, 110, 111, 112</t>
        </is>
      </c>
      <c r="F6" s="9" t="inlineStr">
        <is>
          <t>Cà chua bi, Dưa leo mini, Bí đỏ, Cà rốt, Khoai tây vàng, Cà tím, Đậu cove, Ớt chuông ...</t>
        </is>
      </c>
    </row>
  </sheetData>
  <autoFilter ref="A1:F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01"/>
  <sheetViews>
    <sheetView showGridLines="0" workbookViewId="0">
      <pane ySplit="1" topLeftCell="A2" activePane="bottomLeft" state="frozen"/>
      <selection pane="bottomLeft" activeCell="A1" sqref="A1"/>
    </sheetView>
  </sheetViews>
  <sheetFormatPr baseColWidth="8" defaultRowHeight="15"/>
  <cols>
    <col width="12" customWidth="1" min="1" max="1"/>
    <col width="25" customWidth="1" min="2" max="2"/>
    <col width="24" customWidth="1" min="3" max="3"/>
    <col width="15" customWidth="1" min="4" max="4"/>
    <col width="22" customWidth="1" min="5" max="5"/>
    <col width="18" customWidth="1" min="6" max="6"/>
    <col width="44" customWidth="1" min="7" max="7"/>
    <col width="17" customWidth="1" min="8" max="8"/>
    <col width="24" customWidth="1" min="9" max="9"/>
    <col width="44" customWidth="1" min="10" max="10"/>
    <col width="24" customWidth="1" min="11" max="11"/>
    <col width="25" customWidth="1" min="12" max="12"/>
    <col width="23" customWidth="1" min="13" max="13"/>
    <col width="31" customWidth="1" min="14" max="14"/>
    <col width="44" customWidth="1" min="15" max="15"/>
    <col width="44" customWidth="1" min="16" max="16"/>
    <col width="19" customWidth="1" min="17" max="17"/>
    <col width="12" customWidth="1" min="18" max="18"/>
    <col width="44" customWidth="1" min="19" max="19"/>
    <col width="34" customWidth="1" min="20" max="20"/>
    <col width="44" customWidth="1" min="21" max="21"/>
    <col width="43" customWidth="1" min="22" max="22"/>
    <col width="43" customWidth="1" min="23" max="23"/>
    <col width="40" customWidth="1" min="24" max="24"/>
    <col width="25" customWidth="1" min="25" max="25"/>
    <col width="44" customWidth="1" min="26" max="26"/>
    <col width="28" customWidth="1" min="27" max="27"/>
    <col width="33" customWidth="1" min="28" max="28"/>
    <col width="44" customWidth="1" min="29" max="29"/>
    <col width="30" customWidth="1" min="30" max="30"/>
    <col width="26" customWidth="1" min="31" max="31"/>
    <col width="24" customWidth="1" min="32" max="32"/>
    <col width="44" customWidth="1" min="33" max="33"/>
    <col width="44" customWidth="1" min="34" max="34"/>
    <col width="25" customWidth="1" min="35" max="35"/>
    <col width="44" customWidth="1" min="36" max="36"/>
    <col width="16" customWidth="1" min="37" max="37"/>
  </cols>
  <sheetData>
    <row r="1">
      <c r="A1" s="8" t="inlineStr">
        <is>
          <t>ProductID</t>
        </is>
      </c>
      <c r="B1" s="8" t="inlineStr">
        <is>
          <t>CategoryName</t>
        </is>
      </c>
      <c r="C1" s="8" t="inlineStr">
        <is>
          <t>ProductName</t>
        </is>
      </c>
      <c r="D1" s="8" t="inlineStr">
        <is>
          <t>Sku</t>
        </is>
      </c>
      <c r="E1" s="8" t="inlineStr">
        <is>
          <t>Current Origin</t>
        </is>
      </c>
      <c r="F1" s="8" t="inlineStr">
        <is>
          <t>Current Standard</t>
        </is>
      </c>
      <c r="G1" s="8" t="inlineStr">
        <is>
          <t>Current Preservation</t>
        </is>
      </c>
      <c r="H1" s="8" t="inlineStr">
        <is>
          <t>Current Weight</t>
        </is>
      </c>
      <c r="I1" s="8" t="inlineStr">
        <is>
          <t>Current NearExpiryDays</t>
        </is>
      </c>
      <c r="J1" s="8" t="inlineStr">
        <is>
          <t>Current ShortDescription</t>
        </is>
      </c>
      <c r="K1" s="8" t="inlineStr">
        <is>
          <t>Derived Flavor Profile</t>
        </is>
      </c>
      <c r="L1" s="8" t="inlineStr">
        <is>
          <t>Derived Texture Profile</t>
        </is>
      </c>
      <c r="M1" s="8" t="inlineStr">
        <is>
          <t>Derived Usage Profile</t>
        </is>
      </c>
      <c r="N1" s="8" t="inlineStr">
        <is>
          <t>Current Origin Classification</t>
        </is>
      </c>
      <c r="O1" s="8" t="inlineStr">
        <is>
          <t>Recommendation Uses</t>
        </is>
      </c>
      <c r="P1" s="8" t="inlineStr">
        <is>
          <t>Proposed External Review Fields</t>
        </is>
      </c>
      <c r="Q1" s="8" t="inlineStr">
        <is>
          <t>Research Priority</t>
        </is>
      </c>
      <c r="R1" s="14" t="inlineStr">
        <is>
          <t>Batch</t>
        </is>
      </c>
      <c r="S1" s="14" t="inlineStr">
        <is>
          <t>Batch Focus</t>
        </is>
      </c>
      <c r="T1" s="14" t="inlineStr">
        <is>
          <t>Review Status</t>
        </is>
      </c>
      <c r="U1" s="14" t="inlineStr">
        <is>
          <t>Verified Seasonality Summary</t>
        </is>
      </c>
      <c r="V1" s="14" t="inlineStr">
        <is>
          <t>Seasonality Locality Count</t>
        </is>
      </c>
      <c r="W1" s="8" t="inlineStr">
        <is>
          <t>Seasonality Evidence Count</t>
        </is>
      </c>
      <c r="X1" s="8" t="inlineStr">
        <is>
          <t>General Evidence Count</t>
        </is>
      </c>
      <c r="Y1" s="8" t="inlineStr">
        <is>
          <t>Verified Origin Country</t>
        </is>
      </c>
      <c r="Z1" s="8" t="inlineStr">
        <is>
          <t>Verified Origin Province/Region</t>
        </is>
      </c>
      <c r="AA1" s="8" t="inlineStr">
        <is>
          <t>Verified Domestic/Imported</t>
        </is>
      </c>
      <c r="AB1" s="8" t="inlineStr">
        <is>
          <t>Verified Standard/Certification</t>
        </is>
      </c>
      <c r="AC1" s="8" t="inlineStr">
        <is>
          <t>Verified Preservation Guidance</t>
        </is>
      </c>
      <c r="AD1" s="8" t="inlineStr">
        <is>
          <t>Verified Flavor Profile</t>
        </is>
      </c>
      <c r="AE1" s="8" t="inlineStr">
        <is>
          <t>Verified Texture Profile</t>
        </is>
      </c>
      <c r="AF1" s="8" t="inlineStr">
        <is>
          <t>Verified Usage Profile</t>
        </is>
      </c>
      <c r="AG1" s="8" t="inlineStr">
        <is>
          <t>Primary Source URL</t>
        </is>
      </c>
      <c r="AH1" s="8" t="inlineStr">
        <is>
          <t>Secondary Source URL</t>
        </is>
      </c>
      <c r="AI1" s="8" t="inlineStr">
        <is>
          <t>Thời gian thu thập</t>
        </is>
      </c>
      <c r="AJ1" s="8" t="inlineStr">
        <is>
          <t>Tôi chưa chắc chắn</t>
        </is>
      </c>
      <c r="AK1" s="14" t="inlineStr">
        <is>
          <t>Reviewer Notes</t>
        </is>
      </c>
    </row>
    <row r="2">
      <c r="A2" s="9" t="n">
        <v>1</v>
      </c>
      <c r="B2" s="9" t="inlineStr">
        <is>
          <t>Rau lá</t>
        </is>
      </c>
      <c r="C2" s="9" t="inlineStr">
        <is>
          <t>Rau muống</t>
        </is>
      </c>
      <c r="D2" s="9" t="inlineStr">
        <is>
          <t>VEG-RM-001</t>
        </is>
      </c>
      <c r="E2" s="9" t="inlineStr">
        <is>
          <t>Long An, Việt Nam</t>
        </is>
      </c>
      <c r="F2" s="9" t="inlineStr">
        <is>
          <t>VietGAP</t>
        </is>
      </c>
      <c r="G2" s="9" t="inlineStr">
        <is>
          <t>Giữ nơi khô mát, tránh ánh nắng, nên dùng trong 2 ngày.</t>
        </is>
      </c>
      <c r="H2" s="9" t="inlineStr">
        <is>
          <t>500g</t>
        </is>
      </c>
      <c r="I2" s="9" t="n">
        <v>5</v>
      </c>
      <c r="J2" s="9" t="inlineStr">
        <is>
          <t>Giàu vitamin A, C, chất xơ và sắt... Tươi xanh, thân giòn, lá non, trồng sạch không thuốc.</t>
        </is>
      </c>
      <c r="K2" s="9" t="inlineStr">
        <is>
          <t>Tự nhiên</t>
        </is>
      </c>
      <c r="L2" s="9" t="inlineStr">
        <is>
          <t>Giòn</t>
        </is>
      </c>
      <c r="M2" s="9" t="inlineStr">
        <is>
          <t>Xào / nấu canh</t>
        </is>
      </c>
      <c r="N2" s="9" t="inlineStr">
        <is>
          <t>Nội địa</t>
        </is>
      </c>
      <c r="O2" s="9" t="inlineStr">
        <is>
          <t>Origin|Standard|Preservation|Weight|Attributes|Seasonality heuristic</t>
        </is>
      </c>
      <c r="P2" s="9" t="inlineStr">
        <is>
          <t>Origin; Season window; Standard/cert; Preservation guidance; Flavor/Texture/Usage</t>
        </is>
      </c>
      <c r="Q2" s="9" t="inlineStr">
        <is>
          <t>Trung bình</t>
        </is>
      </c>
      <c r="R2" s="9" t="inlineStr">
        <is>
          <t>B4</t>
        </is>
      </c>
      <c r="S2" s="9" t="inlineStr">
        <is>
          <t>Rau lá, rau thơm và nhóm thân/mầm; thường có quanh năm nhưng peak và vùng trồng khác nhau.</t>
        </is>
      </c>
      <c r="T2" s="9" t="inlineStr">
        <is>
          <t>Pending</t>
        </is>
      </c>
      <c r="U2" s="9" t="n"/>
      <c r="V2" s="9">
        <f>COUNTIF('Seasonality Evidence'!B:B,A2)</f>
        <v/>
      </c>
      <c r="W2" s="9">
        <f>COUNTIF('Seasonality Evidence'!B:B,A2)</f>
        <v/>
      </c>
      <c r="X2" s="9">
        <f>COUNTIF('Research Evidence'!B:B,A2)</f>
        <v/>
      </c>
      <c r="Y2" s="9" t="n"/>
      <c r="Z2" s="9" t="n"/>
      <c r="AA2" s="9" t="n"/>
      <c r="AB2" s="9" t="n"/>
      <c r="AC2" s="9" t="n"/>
      <c r="AD2" s="9" t="n"/>
      <c r="AE2" s="9" t="n"/>
      <c r="AF2" s="9" t="n"/>
      <c r="AG2" s="9" t="n"/>
      <c r="AH2" s="9" t="n"/>
      <c r="AI2" s="9" t="n"/>
      <c r="AJ2" s="9" t="n"/>
      <c r="AK2" s="9" t="n"/>
    </row>
    <row r="3">
      <c r="A3" s="9" t="n">
        <v>2</v>
      </c>
      <c r="B3" s="9" t="inlineStr">
        <is>
          <t>Rau lá</t>
        </is>
      </c>
      <c r="C3" s="9" t="inlineStr">
        <is>
          <t>Cải bó xôi</t>
        </is>
      </c>
      <c r="D3" s="9" t="inlineStr">
        <is>
          <t>VEG-CBX-002</t>
        </is>
      </c>
      <c r="E3" s="9" t="inlineStr">
        <is>
          <t>Đà Lạt, Việt Nam</t>
        </is>
      </c>
      <c r="F3" s="9" t="inlineStr">
        <is>
          <t>GlobalGAP</t>
        </is>
      </c>
      <c r="G3" s="9" t="inlineStr">
        <is>
          <t>Bảo quản trong ngăn mát 2–5°C, không để úng nước.</t>
        </is>
      </c>
      <c r="H3" s="9" t="inlineStr">
        <is>
          <t>300g</t>
        </is>
      </c>
      <c r="I3" s="9" t="n"/>
      <c r="J3" s="9" t="inlineStr">
        <is>
          <t>Giàu vitamin A, C, K và sắt... Lá xanh sẫm, tươi giòn, dinh dưỡng cao.</t>
        </is>
      </c>
      <c r="K3" s="9" t="inlineStr">
        <is>
          <t>Tự nhiên</t>
        </is>
      </c>
      <c r="L3" s="9" t="inlineStr">
        <is>
          <t>Giòn</t>
        </is>
      </c>
      <c r="M3" s="9" t="inlineStr">
        <is>
          <t>Salad / ăn sống</t>
        </is>
      </c>
      <c r="N3" s="9" t="inlineStr">
        <is>
          <t>Nội địa</t>
        </is>
      </c>
      <c r="O3" s="9" t="inlineStr">
        <is>
          <t>Origin|Standard|Preservation|Weight|Attributes|Seasonality heuristic</t>
        </is>
      </c>
      <c r="P3" s="9" t="inlineStr">
        <is>
          <t>Origin; Season window; Standard/cert; Preservation guidance; Flavor/Texture/Usage</t>
        </is>
      </c>
      <c r="Q3" s="9" t="inlineStr">
        <is>
          <t>Trung bình</t>
        </is>
      </c>
      <c r="R3" s="9" t="inlineStr">
        <is>
          <t>B4</t>
        </is>
      </c>
      <c r="S3" s="9" t="inlineStr">
        <is>
          <t>Rau lá, rau thơm và nhóm thân/mầm; thường có quanh năm nhưng peak và vùng trồng khác nhau.</t>
        </is>
      </c>
      <c r="T3" s="9" t="inlineStr">
        <is>
          <t>Pending</t>
        </is>
      </c>
      <c r="U3" s="9" t="n"/>
      <c r="V3" s="9">
        <f>COUNTIF('Seasonality Evidence'!B:B,A3)</f>
        <v/>
      </c>
      <c r="W3" s="9">
        <f>COUNTIF('Seasonality Evidence'!B:B,A3)</f>
        <v/>
      </c>
      <c r="X3" s="9">
        <f>COUNTIF('Research Evidence'!B:B,A3)</f>
        <v/>
      </c>
      <c r="Y3" s="9" t="n"/>
      <c r="Z3" s="9" t="n"/>
      <c r="AA3" s="9" t="n"/>
      <c r="AB3" s="9" t="n"/>
      <c r="AC3" s="9" t="n"/>
      <c r="AD3" s="9" t="n"/>
      <c r="AE3" s="9" t="n"/>
      <c r="AF3" s="9" t="n"/>
      <c r="AG3" s="9" t="n"/>
      <c r="AH3" s="9" t="n"/>
      <c r="AI3" s="9" t="n"/>
      <c r="AJ3" s="9" t="n"/>
      <c r="AK3" s="9" t="n"/>
    </row>
    <row r="4">
      <c r="A4" s="9" t="n">
        <v>3</v>
      </c>
      <c r="B4" s="9" t="inlineStr">
        <is>
          <t>Rau lá</t>
        </is>
      </c>
      <c r="C4" s="9" t="inlineStr">
        <is>
          <t>Rau lang</t>
        </is>
      </c>
      <c r="D4" s="9" t="inlineStr">
        <is>
          <t>VEG-RL-003</t>
        </is>
      </c>
      <c r="E4" s="9" t="inlineStr">
        <is>
          <t>Tiền Giang, Việt Nam</t>
        </is>
      </c>
      <c r="F4" s="9" t="inlineStr">
        <is>
          <t>VietGAP</t>
        </is>
      </c>
      <c r="G4" s="9" t="inlineStr">
        <is>
          <t>Để nơi khô thoáng, tránh nắng trực tiếp.</t>
        </is>
      </c>
      <c r="H4" s="9" t="inlineStr">
        <is>
          <t>400g</t>
        </is>
      </c>
      <c r="I4" s="9" t="n"/>
      <c r="J4" s="9" t="inlineStr">
        <is>
          <t>Giàu chất xơ, vitamin C và canxi... Lá non xanh mướt, giúp thanh lọc cơ thể.</t>
        </is>
      </c>
      <c r="K4" s="9" t="inlineStr">
        <is>
          <t>Thanh</t>
        </is>
      </c>
      <c r="L4" s="9" t="inlineStr">
        <is>
          <t>Tươi</t>
        </is>
      </c>
      <c r="M4" s="9" t="inlineStr">
        <is>
          <t>Xào / nấu canh</t>
        </is>
      </c>
      <c r="N4" s="9" t="inlineStr">
        <is>
          <t>Nội địa</t>
        </is>
      </c>
      <c r="O4" s="9" t="inlineStr">
        <is>
          <t>Origin|Standard|Preservation|Weight|Attributes|Seasonality heuristic</t>
        </is>
      </c>
      <c r="P4" s="9" t="inlineStr">
        <is>
          <t>Origin; Season window; Standard/cert; Preservation guidance; Flavor/Texture/Usage</t>
        </is>
      </c>
      <c r="Q4" s="9" t="inlineStr">
        <is>
          <t>Trung bình</t>
        </is>
      </c>
      <c r="R4" s="9" t="inlineStr">
        <is>
          <t>B4</t>
        </is>
      </c>
      <c r="S4" s="9" t="inlineStr">
        <is>
          <t>Rau lá, rau thơm và nhóm thân/mầm; thường có quanh năm nhưng peak và vùng trồng khác nhau.</t>
        </is>
      </c>
      <c r="T4" s="9" t="inlineStr">
        <is>
          <t>Pending</t>
        </is>
      </c>
      <c r="U4" s="9" t="n"/>
      <c r="V4" s="9">
        <f>COUNTIF('Seasonality Evidence'!B:B,A4)</f>
        <v/>
      </c>
      <c r="W4" s="9">
        <f>COUNTIF('Seasonality Evidence'!B:B,A4)</f>
        <v/>
      </c>
      <c r="X4" s="9">
        <f>COUNTIF('Research Evidence'!B:B,A4)</f>
        <v/>
      </c>
      <c r="Y4" s="9" t="n"/>
      <c r="Z4" s="9" t="n"/>
      <c r="AA4" s="9" t="n"/>
      <c r="AB4" s="9" t="n"/>
      <c r="AC4" s="9" t="n"/>
      <c r="AD4" s="9" t="n"/>
      <c r="AE4" s="9" t="n"/>
      <c r="AF4" s="9" t="n"/>
      <c r="AG4" s="9" t="n"/>
      <c r="AH4" s="9" t="n"/>
      <c r="AI4" s="9" t="n"/>
      <c r="AJ4" s="9" t="n"/>
      <c r="AK4" s="9" t="n"/>
    </row>
    <row r="5">
      <c r="A5" s="9" t="n">
        <v>4</v>
      </c>
      <c r="B5" s="9" t="inlineStr">
        <is>
          <t>Rau lá</t>
        </is>
      </c>
      <c r="C5" s="9" t="inlineStr">
        <is>
          <t>Cải thìa</t>
        </is>
      </c>
      <c r="D5" s="9" t="inlineStr">
        <is>
          <t>VEG-CT-004</t>
        </is>
      </c>
      <c r="E5" s="9" t="inlineStr">
        <is>
          <t>Đà Lạt, Việt Nam</t>
        </is>
      </c>
      <c r="F5" s="9" t="inlineStr">
        <is>
          <t>VietGAP</t>
        </is>
      </c>
      <c r="G5" s="9" t="inlineStr">
        <is>
          <t>Bảo quản trong túi kín, ngăn mát tủ lạnh, dùng trong 3 ngày.</t>
        </is>
      </c>
      <c r="H5" s="9" t="inlineStr">
        <is>
          <t>400g</t>
        </is>
      </c>
      <c r="I5" s="9" t="n"/>
      <c r="J5" s="9" t="inlineStr">
        <is>
          <t>Giàu vitamin A, C, K và kali... Lá xanh tươi, vị ngọt nhẹ, giòn.</t>
        </is>
      </c>
      <c r="K5" s="9" t="inlineStr">
        <is>
          <t>Ngọt nhẹ</t>
        </is>
      </c>
      <c r="L5" s="9" t="inlineStr">
        <is>
          <t>Giòn</t>
        </is>
      </c>
      <c r="M5" s="9" t="inlineStr">
        <is>
          <t>Xào</t>
        </is>
      </c>
      <c r="N5" s="9" t="inlineStr">
        <is>
          <t>Nội địa</t>
        </is>
      </c>
      <c r="O5" s="9" t="inlineStr">
        <is>
          <t>Origin|Standard|Preservation|Weight|Attributes|Seasonality heuristic</t>
        </is>
      </c>
      <c r="P5" s="9" t="inlineStr">
        <is>
          <t>Origin; Season window; Standard/cert; Preservation guidance; Flavor/Texture/Usage</t>
        </is>
      </c>
      <c r="Q5" s="9" t="inlineStr">
        <is>
          <t>Trung bình</t>
        </is>
      </c>
      <c r="R5" s="9" t="inlineStr">
        <is>
          <t>B4</t>
        </is>
      </c>
      <c r="S5" s="9" t="inlineStr">
        <is>
          <t>Rau lá, rau thơm và nhóm thân/mầm; thường có quanh năm nhưng peak và vùng trồng khác nhau.</t>
        </is>
      </c>
      <c r="T5" s="9" t="inlineStr">
        <is>
          <t>Pending</t>
        </is>
      </c>
      <c r="U5" s="9" t="n"/>
      <c r="V5" s="9">
        <f>COUNTIF('Seasonality Evidence'!B:B,A5)</f>
        <v/>
      </c>
      <c r="W5" s="9">
        <f>COUNTIF('Seasonality Evidence'!B:B,A5)</f>
        <v/>
      </c>
      <c r="X5" s="9">
        <f>COUNTIF('Research Evidence'!B:B,A5)</f>
        <v/>
      </c>
      <c r="Y5" s="9" t="n"/>
      <c r="Z5" s="9" t="n"/>
      <c r="AA5" s="9" t="n"/>
      <c r="AB5" s="9" t="n"/>
      <c r="AC5" s="9" t="n"/>
      <c r="AD5" s="9" t="n"/>
      <c r="AE5" s="9" t="n"/>
      <c r="AF5" s="9" t="n"/>
      <c r="AG5" s="9" t="n"/>
      <c r="AH5" s="9" t="n"/>
      <c r="AI5" s="9" t="n"/>
      <c r="AJ5" s="9" t="n"/>
      <c r="AK5" s="9" t="n"/>
    </row>
    <row r="6">
      <c r="A6" s="9" t="n">
        <v>5</v>
      </c>
      <c r="B6" s="9" t="inlineStr">
        <is>
          <t>Rau lá</t>
        </is>
      </c>
      <c r="C6" s="9" t="inlineStr">
        <is>
          <t>Rau dền đỏ</t>
        </is>
      </c>
      <c r="D6" s="9" t="inlineStr">
        <is>
          <t>VEG-RDD-005</t>
        </is>
      </c>
      <c r="E6" s="9" t="inlineStr">
        <is>
          <t>Đồng Nai, Việt Nam</t>
        </is>
      </c>
      <c r="F6" s="9" t="inlineStr">
        <is>
          <t>OCOP 4 sao</t>
        </is>
      </c>
      <c r="G6" s="9" t="inlineStr">
        <is>
          <t>Bảo quản trong ngăn mát, tránh để dập lá.</t>
        </is>
      </c>
      <c r="H6" s="9" t="inlineStr">
        <is>
          <t>300g</t>
        </is>
      </c>
      <c r="I6" s="9" t="n"/>
      <c r="J6" s="9" t="inlineStr">
        <is>
          <t>Giàu sắt, vitamin C, E và chất chống oxy hóa... Lá tím đỏ, vị dịu ngọt.</t>
        </is>
      </c>
      <c r="K6" s="9" t="inlineStr">
        <is>
          <t>Ngọt</t>
        </is>
      </c>
      <c r="L6" s="9" t="inlineStr">
        <is>
          <t>Tươi</t>
        </is>
      </c>
      <c r="M6" s="9" t="inlineStr">
        <is>
          <t>Nấu canh</t>
        </is>
      </c>
      <c r="N6" s="9" t="inlineStr">
        <is>
          <t>Nội địa</t>
        </is>
      </c>
      <c r="O6" s="9" t="inlineStr">
        <is>
          <t>Origin|Standard|Preservation|Weight|Attributes|Seasonality heuristic</t>
        </is>
      </c>
      <c r="P6" s="9" t="inlineStr">
        <is>
          <t>Origin; Season window; Standard/cert; Preservation guidance; Flavor/Texture/Usage</t>
        </is>
      </c>
      <c r="Q6" s="9" t="inlineStr">
        <is>
          <t>Trung bình</t>
        </is>
      </c>
      <c r="R6" s="9" t="inlineStr">
        <is>
          <t>B4</t>
        </is>
      </c>
      <c r="S6" s="9" t="inlineStr">
        <is>
          <t>Rau lá, rau thơm và nhóm thân/mầm; thường có quanh năm nhưng peak và vùng trồng khác nhau.</t>
        </is>
      </c>
      <c r="T6" s="9" t="inlineStr">
        <is>
          <t>Pending</t>
        </is>
      </c>
      <c r="U6" s="9" t="n"/>
      <c r="V6" s="9">
        <f>COUNTIF('Seasonality Evidence'!B:B,A6)</f>
        <v/>
      </c>
      <c r="W6" s="9">
        <f>COUNTIF('Seasonality Evidence'!B:B,A6)</f>
        <v/>
      </c>
      <c r="X6" s="9">
        <f>COUNTIF('Research Evidence'!B:B,A6)</f>
        <v/>
      </c>
      <c r="Y6" s="9" t="n"/>
      <c r="Z6" s="9" t="n"/>
      <c r="AA6" s="9" t="n"/>
      <c r="AB6" s="9" t="n"/>
      <c r="AC6" s="9" t="n"/>
      <c r="AD6" s="9" t="n"/>
      <c r="AE6" s="9" t="n"/>
      <c r="AF6" s="9" t="n"/>
      <c r="AG6" s="9" t="n"/>
      <c r="AH6" s="9" t="n"/>
      <c r="AI6" s="9" t="n"/>
      <c r="AJ6" s="9" t="n"/>
      <c r="AK6" s="9" t="n"/>
    </row>
    <row r="7">
      <c r="A7" s="9" t="n">
        <v>6</v>
      </c>
      <c r="B7" s="9" t="inlineStr">
        <is>
          <t>Rau ăn hoa / thân / mầm</t>
        </is>
      </c>
      <c r="C7" s="9" t="inlineStr">
        <is>
          <t>Bông cải xanh</t>
        </is>
      </c>
      <c r="D7" s="9" t="inlineStr">
        <is>
          <t>VEG-BCX-006</t>
        </is>
      </c>
      <c r="E7" s="9" t="inlineStr">
        <is>
          <t>Lâm Đồng, Việt Nam</t>
        </is>
      </c>
      <c r="F7" s="9" t="inlineStr">
        <is>
          <t>GlobalGAP</t>
        </is>
      </c>
      <c r="G7" s="9" t="inlineStr">
        <is>
          <t>Đặt trong hộp kín, ngăn mát 3–5°C, giữ được 3–4 ngày.</t>
        </is>
      </c>
      <c r="H7" s="9" t="inlineStr">
        <is>
          <t>500g</t>
        </is>
      </c>
      <c r="I7" s="9" t="n">
        <v>5</v>
      </c>
      <c r="J7" s="9" t="inlineStr">
        <is>
          <t>Giàu vitamin C, K, A và chất xơ... Bông chắc, xanh sẫm, giòn ngọt.</t>
        </is>
      </c>
      <c r="K7" s="9" t="inlineStr">
        <is>
          <t>Ngọt</t>
        </is>
      </c>
      <c r="L7" s="9" t="inlineStr">
        <is>
          <t>Giòn</t>
        </is>
      </c>
      <c r="M7" s="9" t="inlineStr">
        <is>
          <t>Salad / ăn sống</t>
        </is>
      </c>
      <c r="N7" s="9" t="inlineStr">
        <is>
          <t>Nội địa</t>
        </is>
      </c>
      <c r="O7" s="9" t="inlineStr">
        <is>
          <t>Origin|Standard|Preservation|Weight|Attributes|Seasonality heuristic</t>
        </is>
      </c>
      <c r="P7" s="9" t="inlineStr">
        <is>
          <t>Origin; Season window; Standard/cert; Preservation guidance; Flavor/Texture/Usage</t>
        </is>
      </c>
      <c r="Q7" s="9" t="inlineStr">
        <is>
          <t>Trung bình</t>
        </is>
      </c>
      <c r="R7" s="9" t="inlineStr">
        <is>
          <t>B4</t>
        </is>
      </c>
      <c r="S7" s="9" t="inlineStr">
        <is>
          <t>Rau lá, rau thơm và nhóm thân/mầm; thường có quanh năm nhưng peak và vùng trồng khác nhau.</t>
        </is>
      </c>
      <c r="T7" s="9" t="inlineStr">
        <is>
          <t>Pending</t>
        </is>
      </c>
      <c r="U7" s="9" t="n"/>
      <c r="V7" s="9">
        <f>COUNTIF('Seasonality Evidence'!B:B,A7)</f>
        <v/>
      </c>
      <c r="W7" s="9">
        <f>COUNTIF('Seasonality Evidence'!B:B,A7)</f>
        <v/>
      </c>
      <c r="X7" s="9">
        <f>COUNTIF('Research Evidence'!B:B,A7)</f>
        <v/>
      </c>
      <c r="Y7" s="9" t="n"/>
      <c r="Z7" s="9" t="n"/>
      <c r="AA7" s="9" t="n"/>
      <c r="AB7" s="9" t="n"/>
      <c r="AC7" s="9" t="n"/>
      <c r="AD7" s="9" t="n"/>
      <c r="AE7" s="9" t="n"/>
      <c r="AF7" s="9" t="n"/>
      <c r="AG7" s="9" t="n"/>
      <c r="AH7" s="9" t="n"/>
      <c r="AI7" s="9" t="n"/>
      <c r="AJ7" s="9" t="n"/>
      <c r="AK7" s="9" t="n"/>
    </row>
    <row r="8">
      <c r="A8" s="9" t="n">
        <v>7</v>
      </c>
      <c r="B8" s="9" t="inlineStr">
        <is>
          <t>Rau ăn hoa / thân / mầm</t>
        </is>
      </c>
      <c r="C8" s="9" t="inlineStr">
        <is>
          <t>Súp lơ trắng</t>
        </is>
      </c>
      <c r="D8" s="9" t="inlineStr">
        <is>
          <t>VEG-SL-007</t>
        </is>
      </c>
      <c r="E8" s="9" t="inlineStr">
        <is>
          <t>Bình Thuận, Việt Nam</t>
        </is>
      </c>
      <c r="F8" s="9" t="inlineStr">
        <is>
          <t>VietGAP</t>
        </is>
      </c>
      <c r="G8" s="9" t="inlineStr">
        <is>
          <t>Bảo quản trong túi giấy hoặc túi thoáng khí.</t>
        </is>
      </c>
      <c r="H8" s="9" t="inlineStr">
        <is>
          <t>600g</t>
        </is>
      </c>
      <c r="I8" s="9" t="n"/>
      <c r="J8" s="9" t="inlineStr">
        <is>
          <t>Giàu vitamin C, K, folate và chất xơ... Bông trắng đều, vị ngọt dịu.</t>
        </is>
      </c>
      <c r="K8" s="9" t="inlineStr">
        <is>
          <t>Ngọt dịu</t>
        </is>
      </c>
      <c r="L8" s="9" t="inlineStr">
        <is>
          <t>Tươi</t>
        </is>
      </c>
      <c r="M8" s="9" t="inlineStr">
        <is>
          <t>Xào / nấu canh</t>
        </is>
      </c>
      <c r="N8" s="9" t="inlineStr">
        <is>
          <t>Nội địa</t>
        </is>
      </c>
      <c r="O8" s="9" t="inlineStr">
        <is>
          <t>Origin|Standard|Preservation|Weight|Attributes|Seasonality heuristic</t>
        </is>
      </c>
      <c r="P8" s="9" t="inlineStr">
        <is>
          <t>Origin; Season window; Standard/cert; Preservation guidance; Flavor/Texture/Usage</t>
        </is>
      </c>
      <c r="Q8" s="9" t="inlineStr">
        <is>
          <t>Trung bình</t>
        </is>
      </c>
      <c r="R8" s="9" t="inlineStr">
        <is>
          <t>B4</t>
        </is>
      </c>
      <c r="S8" s="9" t="inlineStr">
        <is>
          <t>Rau lá, rau thơm và nhóm thân/mầm; thường có quanh năm nhưng peak và vùng trồng khác nhau.</t>
        </is>
      </c>
      <c r="T8" s="9" t="inlineStr">
        <is>
          <t>Pending</t>
        </is>
      </c>
      <c r="U8" s="9" t="n"/>
      <c r="V8" s="9">
        <f>COUNTIF('Seasonality Evidence'!B:B,A8)</f>
        <v/>
      </c>
      <c r="W8" s="9">
        <f>COUNTIF('Seasonality Evidence'!B:B,A8)</f>
        <v/>
      </c>
      <c r="X8" s="9">
        <f>COUNTIF('Research Evidence'!B:B,A8)</f>
        <v/>
      </c>
      <c r="Y8" s="9" t="n"/>
      <c r="Z8" s="9" t="n"/>
      <c r="AA8" s="9" t="n"/>
      <c r="AB8" s="9" t="n"/>
      <c r="AC8" s="9" t="n"/>
      <c r="AD8" s="9" t="n"/>
      <c r="AE8" s="9" t="n"/>
      <c r="AF8" s="9" t="n"/>
      <c r="AG8" s="9" t="n"/>
      <c r="AH8" s="9" t="n"/>
      <c r="AI8" s="9" t="n"/>
      <c r="AJ8" s="9" t="n"/>
      <c r="AK8" s="9" t="n"/>
    </row>
    <row r="9">
      <c r="A9" s="9" t="n">
        <v>8</v>
      </c>
      <c r="B9" s="9" t="inlineStr">
        <is>
          <t>Rau ăn hoa / thân / mầm</t>
        </is>
      </c>
      <c r="C9" s="9" t="inlineStr">
        <is>
          <t>Măng tây xanh</t>
        </is>
      </c>
      <c r="D9" s="9" t="inlineStr">
        <is>
          <t>VEG-MT-008</t>
        </is>
      </c>
      <c r="E9" s="9" t="inlineStr">
        <is>
          <t>Ninh Thuận, Việt Nam</t>
        </is>
      </c>
      <c r="F9" s="9" t="inlineStr">
        <is>
          <t>GlobalGAP</t>
        </is>
      </c>
      <c r="G9" s="9" t="inlineStr">
        <is>
          <t>Giữ trong khăn ẩm, đặt ngăn mát để giữ độ tươi.</t>
        </is>
      </c>
      <c r="H9" s="9" t="inlineStr">
        <is>
          <t>250g</t>
        </is>
      </c>
      <c r="I9" s="9" t="n"/>
      <c r="J9" s="9" t="inlineStr">
        <is>
          <t>Giàu vitamin A, C, E và folate... Non mướt, giòn, thơm nhẹ.</t>
        </is>
      </c>
      <c r="K9" s="9" t="inlineStr">
        <is>
          <t>Tự nhiên</t>
        </is>
      </c>
      <c r="L9" s="9" t="inlineStr">
        <is>
          <t>Giòn</t>
        </is>
      </c>
      <c r="M9" s="9" t="inlineStr">
        <is>
          <t>Xào</t>
        </is>
      </c>
      <c r="N9" s="9" t="inlineStr">
        <is>
          <t>Nội địa</t>
        </is>
      </c>
      <c r="O9" s="9" t="inlineStr">
        <is>
          <t>Origin|Standard|Preservation|Weight|Attributes|Seasonality heuristic</t>
        </is>
      </c>
      <c r="P9" s="9" t="inlineStr">
        <is>
          <t>Origin; Season window; Standard/cert; Preservation guidance; Flavor/Texture/Usage</t>
        </is>
      </c>
      <c r="Q9" s="9" t="inlineStr">
        <is>
          <t>Trung bình</t>
        </is>
      </c>
      <c r="R9" s="9" t="inlineStr">
        <is>
          <t>B4</t>
        </is>
      </c>
      <c r="S9" s="9" t="inlineStr">
        <is>
          <t>Rau lá, rau thơm và nhóm thân/mầm; thường có quanh năm nhưng peak và vùng trồng khác nhau.</t>
        </is>
      </c>
      <c r="T9" s="9" t="inlineStr">
        <is>
          <t>Pending</t>
        </is>
      </c>
      <c r="U9" s="9" t="n"/>
      <c r="V9" s="9">
        <f>COUNTIF('Seasonality Evidence'!B:B,A9)</f>
        <v/>
      </c>
      <c r="W9" s="9">
        <f>COUNTIF('Seasonality Evidence'!B:B,A9)</f>
        <v/>
      </c>
      <c r="X9" s="9">
        <f>COUNTIF('Research Evidence'!B:B,A9)</f>
        <v/>
      </c>
      <c r="Y9" s="9" t="n"/>
      <c r="Z9" s="9" t="n"/>
      <c r="AA9" s="9" t="n"/>
      <c r="AB9" s="9" t="n"/>
      <c r="AC9" s="9" t="n"/>
      <c r="AD9" s="9" t="n"/>
      <c r="AE9" s="9" t="n"/>
      <c r="AF9" s="9" t="n"/>
      <c r="AG9" s="9" t="n"/>
      <c r="AH9" s="9" t="n"/>
      <c r="AI9" s="9" t="n"/>
      <c r="AJ9" s="9" t="n"/>
      <c r="AK9" s="9" t="n"/>
    </row>
    <row r="10">
      <c r="A10" s="9" t="n">
        <v>9</v>
      </c>
      <c r="B10" s="9" t="inlineStr">
        <is>
          <t>Rau ăn hoa / thân / mầm</t>
        </is>
      </c>
      <c r="C10" s="9" t="inlineStr">
        <is>
          <t>Rau mầm hướng dương</t>
        </is>
      </c>
      <c r="D10" s="9" t="inlineStr">
        <is>
          <t>VEG-RMH-009</t>
        </is>
      </c>
      <c r="E10" s="9" t="inlineStr">
        <is>
          <t>Cần Thơ, Việt Nam</t>
        </is>
      </c>
      <c r="F10" s="9" t="inlineStr">
        <is>
          <t>VietGAP</t>
        </is>
      </c>
      <c r="G10" s="9" t="inlineStr">
        <is>
          <t>Dùng ngay trong ngày, bảo quản ngăn mát.</t>
        </is>
      </c>
      <c r="H10" s="9" t="inlineStr">
        <is>
          <t>150g</t>
        </is>
      </c>
      <c r="I10" s="9" t="n"/>
      <c r="J10" s="9" t="inlineStr">
        <is>
          <t>Giàu vitamin E, C, enzyme tự nhiên và kẽm... Tươi giòn, dễ ăn.</t>
        </is>
      </c>
      <c r="K10" s="9" t="inlineStr">
        <is>
          <t>Ngọt</t>
        </is>
      </c>
      <c r="L10" s="9" t="inlineStr">
        <is>
          <t>Giòn</t>
        </is>
      </c>
      <c r="M10" s="9" t="inlineStr">
        <is>
          <t>Salad / ăn sống</t>
        </is>
      </c>
      <c r="N10" s="9" t="inlineStr">
        <is>
          <t>Nội địa</t>
        </is>
      </c>
      <c r="O10" s="9" t="inlineStr">
        <is>
          <t>Origin|Standard|Preservation|Weight|Attributes|Seasonality heuristic</t>
        </is>
      </c>
      <c r="P10" s="9" t="inlineStr">
        <is>
          <t>Origin; Season window; Standard/cert; Preservation guidance; Flavor/Texture/Usage</t>
        </is>
      </c>
      <c r="Q10" s="9" t="inlineStr">
        <is>
          <t>Trung bình</t>
        </is>
      </c>
      <c r="R10" s="9" t="inlineStr">
        <is>
          <t>B4</t>
        </is>
      </c>
      <c r="S10" s="9" t="inlineStr">
        <is>
          <t>Rau lá, rau thơm và nhóm thân/mầm; thường có quanh năm nhưng peak và vùng trồng khác nhau.</t>
        </is>
      </c>
      <c r="T10" s="9" t="inlineStr">
        <is>
          <t>Pending</t>
        </is>
      </c>
      <c r="U10" s="9" t="n"/>
      <c r="V10" s="9">
        <f>COUNTIF('Seasonality Evidence'!B:B,A10)</f>
        <v/>
      </c>
      <c r="W10" s="9">
        <f>COUNTIF('Seasonality Evidence'!B:B,A10)</f>
        <v/>
      </c>
      <c r="X10" s="9">
        <f>COUNTIF('Research Evidence'!B:B,A10)</f>
        <v/>
      </c>
      <c r="Y10" s="9" t="n"/>
      <c r="Z10" s="9" t="n"/>
      <c r="AA10" s="9" t="n"/>
      <c r="AB10" s="9" t="n"/>
      <c r="AC10" s="9" t="n"/>
      <c r="AD10" s="9" t="n"/>
      <c r="AE10" s="9" t="n"/>
      <c r="AF10" s="9" t="n"/>
      <c r="AG10" s="9" t="n"/>
      <c r="AH10" s="9" t="n"/>
      <c r="AI10" s="9" t="n"/>
      <c r="AJ10" s="9" t="n"/>
      <c r="AK10" s="9" t="n"/>
    </row>
    <row r="11">
      <c r="A11" s="9" t="n">
        <v>10</v>
      </c>
      <c r="B11" s="9" t="inlineStr">
        <is>
          <t>Rau ăn quả</t>
        </is>
      </c>
      <c r="C11" s="9" t="inlineStr">
        <is>
          <t>Cà chua bi</t>
        </is>
      </c>
      <c r="D11" s="9" t="inlineStr">
        <is>
          <t>VEG-CTB-010</t>
        </is>
      </c>
      <c r="E11" s="9" t="inlineStr">
        <is>
          <t>Đà Lạt, Việt Nam</t>
        </is>
      </c>
      <c r="F11" s="9" t="inlineStr">
        <is>
          <t>VietGAP</t>
        </is>
      </c>
      <c r="G11" s="9" t="inlineStr">
        <is>
          <t>Để nơi thoáng mát, tránh nhiệt độ cao.</t>
        </is>
      </c>
      <c r="H11" s="9" t="inlineStr">
        <is>
          <t>300g</t>
        </is>
      </c>
      <c r="I11" s="9" t="n"/>
      <c r="J11" s="9" t="inlineStr">
        <is>
          <t>Giàu vitamin A, C, lycopene và kali... Quả mọng, vị ngọt thanh.</t>
        </is>
      </c>
      <c r="K11" s="9" t="inlineStr">
        <is>
          <t>Ngọt thanh</t>
        </is>
      </c>
      <c r="L11" s="9" t="inlineStr">
        <is>
          <t>Tươi</t>
        </is>
      </c>
      <c r="M11" s="9" t="inlineStr">
        <is>
          <t>Salad / ăn sống</t>
        </is>
      </c>
      <c r="N11" s="9" t="inlineStr">
        <is>
          <t>Nội địa</t>
        </is>
      </c>
      <c r="O11" s="9" t="inlineStr">
        <is>
          <t>Origin|Standard|Preservation|Weight|Attributes|Seasonality heuristic</t>
        </is>
      </c>
      <c r="P11" s="9" t="inlineStr">
        <is>
          <t>Origin; Season window; Standard/cert; Preservation guidance; Flavor/Texture/Usage</t>
        </is>
      </c>
      <c r="Q11" s="9" t="inlineStr">
        <is>
          <t>Trung bình</t>
        </is>
      </c>
      <c r="R11" s="9" t="inlineStr">
        <is>
          <t>B5</t>
        </is>
      </c>
      <c r="S11" s="9" t="inlineStr">
        <is>
          <t>Rau ăn quả, củ/rễ, nấm và nhóm còn lại; kiểm tra seasonality/cultivation theo vùng hoặc mô hình trồng.</t>
        </is>
      </c>
      <c r="T11" s="9" t="inlineStr">
        <is>
          <t>Pending</t>
        </is>
      </c>
      <c r="U11" s="9" t="n"/>
      <c r="V11" s="9">
        <f>COUNTIF('Seasonality Evidence'!B:B,A11)</f>
        <v/>
      </c>
      <c r="W11" s="9">
        <f>COUNTIF('Seasonality Evidence'!B:B,A11)</f>
        <v/>
      </c>
      <c r="X11" s="9">
        <f>COUNTIF('Research Evidence'!B:B,A11)</f>
        <v/>
      </c>
      <c r="Y11" s="9" t="n"/>
      <c r="Z11" s="9" t="n"/>
      <c r="AA11" s="9" t="n"/>
      <c r="AB11" s="9" t="n"/>
      <c r="AC11" s="9" t="n"/>
      <c r="AD11" s="9" t="n"/>
      <c r="AE11" s="9" t="n"/>
      <c r="AF11" s="9" t="n"/>
      <c r="AG11" s="9" t="n"/>
      <c r="AH11" s="9" t="n"/>
      <c r="AI11" s="9" t="n"/>
      <c r="AJ11" s="9" t="n"/>
      <c r="AK11" s="9" t="n"/>
    </row>
    <row r="12">
      <c r="A12" s="9" t="n">
        <v>11</v>
      </c>
      <c r="B12" s="9" t="inlineStr">
        <is>
          <t>Rau ăn quả</t>
        </is>
      </c>
      <c r="C12" s="9" t="inlineStr">
        <is>
          <t>Dưa leo mini</t>
        </is>
      </c>
      <c r="D12" s="9" t="inlineStr">
        <is>
          <t>VEG-DLM-011</t>
        </is>
      </c>
      <c r="E12" s="9" t="inlineStr">
        <is>
          <t>Bến Tre, Việt Nam</t>
        </is>
      </c>
      <c r="F12" s="9" t="inlineStr">
        <is>
          <t>OCOP 3 sao</t>
        </is>
      </c>
      <c r="G12" s="9" t="inlineStr">
        <is>
          <t>Giữ nơi khô ráo, có thể để ngăn mát nếu chưa dùng.</t>
        </is>
      </c>
      <c r="H12" s="9" t="inlineStr">
        <is>
          <t>400g</t>
        </is>
      </c>
      <c r="I12" s="9" t="n"/>
      <c r="J12" s="9" t="inlineStr">
        <is>
          <t>Giàu vitamin C, K và nước tự nhiên... Xanh tươi, giòn mát.</t>
        </is>
      </c>
      <c r="K12" s="9" t="inlineStr">
        <is>
          <t>Tự nhiên</t>
        </is>
      </c>
      <c r="L12" s="9" t="inlineStr">
        <is>
          <t>Giòn</t>
        </is>
      </c>
      <c r="M12" s="9" t="inlineStr">
        <is>
          <t>Salad / ăn sống</t>
        </is>
      </c>
      <c r="N12" s="9" t="inlineStr">
        <is>
          <t>Nội địa</t>
        </is>
      </c>
      <c r="O12" s="9" t="inlineStr">
        <is>
          <t>Origin|Standard|Preservation|Weight|Attributes|Seasonality heuristic</t>
        </is>
      </c>
      <c r="P12" s="9" t="inlineStr">
        <is>
          <t>Origin; Season window; Standard/cert; Preservation guidance; Flavor/Texture/Usage</t>
        </is>
      </c>
      <c r="Q12" s="9" t="inlineStr">
        <is>
          <t>Trung bình</t>
        </is>
      </c>
      <c r="R12" s="9" t="inlineStr">
        <is>
          <t>B5</t>
        </is>
      </c>
      <c r="S12" s="9" t="inlineStr">
        <is>
          <t>Rau ăn quả, củ/rễ, nấm và nhóm còn lại; kiểm tra seasonality/cultivation theo vùng hoặc mô hình trồng.</t>
        </is>
      </c>
      <c r="T12" s="9" t="inlineStr">
        <is>
          <t>Pending</t>
        </is>
      </c>
      <c r="U12" s="9" t="n"/>
      <c r="V12" s="9">
        <f>COUNTIF('Seasonality Evidence'!B:B,A12)</f>
        <v/>
      </c>
      <c r="W12" s="9">
        <f>COUNTIF('Seasonality Evidence'!B:B,A12)</f>
        <v/>
      </c>
      <c r="X12" s="9">
        <f>COUNTIF('Research Evidence'!B:B,A12)</f>
        <v/>
      </c>
      <c r="Y12" s="9" t="n"/>
      <c r="Z12" s="9" t="n"/>
      <c r="AA12" s="9" t="n"/>
      <c r="AB12" s="9" t="n"/>
      <c r="AC12" s="9" t="n"/>
      <c r="AD12" s="9" t="n"/>
      <c r="AE12" s="9" t="n"/>
      <c r="AF12" s="9" t="n"/>
      <c r="AG12" s="9" t="n"/>
      <c r="AH12" s="9" t="n"/>
      <c r="AI12" s="9" t="n"/>
      <c r="AJ12" s="9" t="n"/>
      <c r="AK12" s="9" t="n"/>
    </row>
    <row r="13">
      <c r="A13" s="9" t="n">
        <v>12</v>
      </c>
      <c r="B13" s="9" t="inlineStr">
        <is>
          <t>Rau ăn quả</t>
        </is>
      </c>
      <c r="C13" s="9" t="inlineStr">
        <is>
          <t>Bí đỏ</t>
        </is>
      </c>
      <c r="D13" s="9" t="inlineStr">
        <is>
          <t>VEG-BD-012</t>
        </is>
      </c>
      <c r="E13" s="9" t="inlineStr">
        <is>
          <t>Bình Dương, Việt Nam</t>
        </is>
      </c>
      <c r="F13" s="9" t="inlineStr">
        <is>
          <t>VietGAP</t>
        </is>
      </c>
      <c r="G13" s="9" t="inlineStr">
        <is>
          <t>Bảo quản nơi khô mát, có thể để 5–7 ngày.</t>
        </is>
      </c>
      <c r="H13" s="9" t="inlineStr">
        <is>
          <t>1kg</t>
        </is>
      </c>
      <c r="I13" s="9" t="n"/>
      <c r="J13" s="9" t="inlineStr">
        <is>
          <t>Giàu vitamin A, C, beta-carotene và chất xơ... Dẻo thơm, ngọt nhẹ.</t>
        </is>
      </c>
      <c r="K13" s="9" t="inlineStr">
        <is>
          <t>Ngọt nhẹ</t>
        </is>
      </c>
      <c r="L13" s="9" t="inlineStr">
        <is>
          <t>Tươi</t>
        </is>
      </c>
      <c r="M13" s="9" t="inlineStr">
        <is>
          <t>Nấu canh</t>
        </is>
      </c>
      <c r="N13" s="9" t="inlineStr">
        <is>
          <t>Nội địa</t>
        </is>
      </c>
      <c r="O13" s="9" t="inlineStr">
        <is>
          <t>Origin|Standard|Preservation|Weight|Attributes|Seasonality heuristic</t>
        </is>
      </c>
      <c r="P13" s="9" t="inlineStr">
        <is>
          <t>Origin; Season window; Standard/cert; Preservation guidance; Flavor/Texture/Usage</t>
        </is>
      </c>
      <c r="Q13" s="9" t="inlineStr">
        <is>
          <t>Trung bình</t>
        </is>
      </c>
      <c r="R13" s="9" t="inlineStr">
        <is>
          <t>B5</t>
        </is>
      </c>
      <c r="S13" s="9" t="inlineStr">
        <is>
          <t>Rau ăn quả, củ/rễ, nấm và nhóm còn lại; kiểm tra seasonality/cultivation theo vùng hoặc mô hình trồng.</t>
        </is>
      </c>
      <c r="T13" s="9" t="inlineStr">
        <is>
          <t>Pending</t>
        </is>
      </c>
      <c r="U13" s="9" t="n"/>
      <c r="V13" s="9">
        <f>COUNTIF('Seasonality Evidence'!B:B,A13)</f>
        <v/>
      </c>
      <c r="W13" s="9">
        <f>COUNTIF('Seasonality Evidence'!B:B,A13)</f>
        <v/>
      </c>
      <c r="X13" s="9">
        <f>COUNTIF('Research Evidence'!B:B,A13)</f>
        <v/>
      </c>
      <c r="Y13" s="9" t="n"/>
      <c r="Z13" s="9" t="n"/>
      <c r="AA13" s="9" t="n"/>
      <c r="AB13" s="9" t="n"/>
      <c r="AC13" s="9" t="n"/>
      <c r="AD13" s="9" t="n"/>
      <c r="AE13" s="9" t="n"/>
      <c r="AF13" s="9" t="n"/>
      <c r="AG13" s="9" t="n"/>
      <c r="AH13" s="9" t="n"/>
      <c r="AI13" s="9" t="n"/>
      <c r="AJ13" s="9" t="n"/>
      <c r="AK13" s="9" t="n"/>
    </row>
    <row r="14">
      <c r="A14" s="9" t="n">
        <v>13</v>
      </c>
      <c r="B14" s="9" t="inlineStr">
        <is>
          <t>Củ &amp; rễ</t>
        </is>
      </c>
      <c r="C14" s="9" t="inlineStr">
        <is>
          <t>Cà rốt</t>
        </is>
      </c>
      <c r="D14" s="9" t="inlineStr">
        <is>
          <t>VEG-CR-013</t>
        </is>
      </c>
      <c r="E14" s="9" t="inlineStr">
        <is>
          <t>Lâm Đồng, Việt Nam</t>
        </is>
      </c>
      <c r="F14" s="9" t="inlineStr">
        <is>
          <t>VietGAP</t>
        </is>
      </c>
      <c r="G14" s="9" t="inlineStr">
        <is>
          <t>Giữ trong túi lưới hoặc hộp nhựa thoáng khí, ngăn mát.</t>
        </is>
      </c>
      <c r="H14" s="9" t="inlineStr">
        <is>
          <t>500g</t>
        </is>
      </c>
      <c r="I14" s="9" t="n"/>
      <c r="J14" s="9" t="inlineStr">
        <is>
          <t>Giàu vitamin A, C, K và beta-carotene... Giòn ngọt, tốt cho mắt.</t>
        </is>
      </c>
      <c r="K14" s="9" t="inlineStr">
        <is>
          <t>Ngọt</t>
        </is>
      </c>
      <c r="L14" s="9" t="inlineStr">
        <is>
          <t>Giòn</t>
        </is>
      </c>
      <c r="M14" s="9" t="inlineStr">
        <is>
          <t>Xào</t>
        </is>
      </c>
      <c r="N14" s="9" t="inlineStr">
        <is>
          <t>Nội địa</t>
        </is>
      </c>
      <c r="O14" s="9" t="inlineStr">
        <is>
          <t>Origin|Standard|Preservation|Weight|Attributes|Seasonality heuristic</t>
        </is>
      </c>
      <c r="P14" s="9" t="inlineStr">
        <is>
          <t>Origin; Season window; Standard/cert; Preservation guidance; Flavor/Texture/Usage</t>
        </is>
      </c>
      <c r="Q14" s="9" t="inlineStr">
        <is>
          <t>Trung bình</t>
        </is>
      </c>
      <c r="R14" s="9" t="inlineStr">
        <is>
          <t>B5</t>
        </is>
      </c>
      <c r="S14" s="9" t="inlineStr">
        <is>
          <t>Rau ăn quả, củ/rễ, nấm và nhóm còn lại; kiểm tra seasonality/cultivation theo vùng hoặc mô hình trồng.</t>
        </is>
      </c>
      <c r="T14" s="9" t="inlineStr">
        <is>
          <t>Pending</t>
        </is>
      </c>
      <c r="U14" s="9" t="n"/>
      <c r="V14" s="9">
        <f>COUNTIF('Seasonality Evidence'!B:B,A14)</f>
        <v/>
      </c>
      <c r="W14" s="9">
        <f>COUNTIF('Seasonality Evidence'!B:B,A14)</f>
        <v/>
      </c>
      <c r="X14" s="9">
        <f>COUNTIF('Research Evidence'!B:B,A14)</f>
        <v/>
      </c>
      <c r="Y14" s="9" t="n"/>
      <c r="Z14" s="9" t="n"/>
      <c r="AA14" s="9" t="n"/>
      <c r="AB14" s="9" t="n"/>
      <c r="AC14" s="9" t="n"/>
      <c r="AD14" s="9" t="n"/>
      <c r="AE14" s="9" t="n"/>
      <c r="AF14" s="9" t="n"/>
      <c r="AG14" s="9" t="n"/>
      <c r="AH14" s="9" t="n"/>
      <c r="AI14" s="9" t="n"/>
      <c r="AJ14" s="9" t="n"/>
      <c r="AK14" s="9" t="n"/>
    </row>
    <row r="15">
      <c r="A15" s="9" t="n">
        <v>14</v>
      </c>
      <c r="B15" s="9" t="inlineStr">
        <is>
          <t>Củ &amp; rễ</t>
        </is>
      </c>
      <c r="C15" s="9" t="inlineStr">
        <is>
          <t>Khoai tây vàng</t>
        </is>
      </c>
      <c r="D15" s="9" t="inlineStr">
        <is>
          <t>VEG-KTV-014</t>
        </is>
      </c>
      <c r="E15" s="9" t="inlineStr">
        <is>
          <t>Đà Lạt, Việt Nam</t>
        </is>
      </c>
      <c r="F15" s="9" t="inlineStr">
        <is>
          <t>GlobalGAP</t>
        </is>
      </c>
      <c r="G15" s="9" t="inlineStr">
        <is>
          <t>Để nơi thoáng, tránh ánh sáng để không mọc mầm.</t>
        </is>
      </c>
      <c r="H15" s="9" t="inlineStr">
        <is>
          <t>800g</t>
        </is>
      </c>
      <c r="I15" s="9" t="n"/>
      <c r="J15" s="9" t="inlineStr">
        <is>
          <t>Giàu vitamin C, B6, kali và tinh bột tự nhiên... Ruột vàng, dẻo thơm.</t>
        </is>
      </c>
      <c r="K15" s="9" t="inlineStr">
        <is>
          <t>Tự nhiên</t>
        </is>
      </c>
      <c r="L15" s="9" t="inlineStr">
        <is>
          <t>Tươi</t>
        </is>
      </c>
      <c r="M15" s="9" t="inlineStr">
        <is>
          <t>Nướng</t>
        </is>
      </c>
      <c r="N15" s="9" t="inlineStr">
        <is>
          <t>Nội địa</t>
        </is>
      </c>
      <c r="O15" s="9" t="inlineStr">
        <is>
          <t>Origin|Standard|Preservation|Weight|Attributes|Seasonality heuristic</t>
        </is>
      </c>
      <c r="P15" s="9" t="inlineStr">
        <is>
          <t>Origin; Season window; Standard/cert; Preservation guidance; Flavor/Texture/Usage</t>
        </is>
      </c>
      <c r="Q15" s="9" t="inlineStr">
        <is>
          <t>Trung bình</t>
        </is>
      </c>
      <c r="R15" s="9" t="inlineStr">
        <is>
          <t>B5</t>
        </is>
      </c>
      <c r="S15" s="9" t="inlineStr">
        <is>
          <t>Rau ăn quả, củ/rễ, nấm và nhóm còn lại; kiểm tra seasonality/cultivation theo vùng hoặc mô hình trồng.</t>
        </is>
      </c>
      <c r="T15" s="9" t="inlineStr">
        <is>
          <t>Pending</t>
        </is>
      </c>
      <c r="U15" s="9" t="n"/>
      <c r="V15" s="9">
        <f>COUNTIF('Seasonality Evidence'!B:B,A15)</f>
        <v/>
      </c>
      <c r="W15" s="9">
        <f>COUNTIF('Seasonality Evidence'!B:B,A15)</f>
        <v/>
      </c>
      <c r="X15" s="9">
        <f>COUNTIF('Research Evidence'!B:B,A15)</f>
        <v/>
      </c>
      <c r="Y15" s="9" t="n"/>
      <c r="Z15" s="9" t="n"/>
      <c r="AA15" s="9" t="n"/>
      <c r="AB15" s="9" t="n"/>
      <c r="AC15" s="9" t="n"/>
      <c r="AD15" s="9" t="n"/>
      <c r="AE15" s="9" t="n"/>
      <c r="AF15" s="9" t="n"/>
      <c r="AG15" s="9" t="n"/>
      <c r="AH15" s="9" t="n"/>
      <c r="AI15" s="9" t="n"/>
      <c r="AJ15" s="9" t="n"/>
      <c r="AK15" s="9" t="n"/>
    </row>
    <row r="16">
      <c r="A16" s="9" t="n">
        <v>15</v>
      </c>
      <c r="B16" s="9" t="inlineStr">
        <is>
          <t>Rau lá</t>
        </is>
      </c>
      <c r="C16" s="9" t="inlineStr">
        <is>
          <t>Rau cải ngọt</t>
        </is>
      </c>
      <c r="D16" s="9" t="inlineStr">
        <is>
          <t>VEG-RCN-015</t>
        </is>
      </c>
      <c r="E16" s="9" t="inlineStr">
        <is>
          <t>Đà Lạt, Việt Nam</t>
        </is>
      </c>
      <c r="F16" s="9" t="inlineStr">
        <is>
          <t>VietGAP</t>
        </is>
      </c>
      <c r="G16" s="9" t="inlineStr">
        <is>
          <t>Bảo quản ngăn mát, dùng trong 2-3 ngày.</t>
        </is>
      </c>
      <c r="H16" s="9" t="inlineStr">
        <is>
          <t>400g</t>
        </is>
      </c>
      <c r="I16" s="9" t="n"/>
      <c r="J16" s="9" t="inlineStr">
        <is>
          <t>Giàu vitamin A, C, vị ngọt tự nhiên... Lá xanh mướt, giòn, dễ chế biến.</t>
        </is>
      </c>
      <c r="K16" s="9" t="inlineStr">
        <is>
          <t>Ngọt</t>
        </is>
      </c>
      <c r="L16" s="9" t="inlineStr">
        <is>
          <t>Giòn</t>
        </is>
      </c>
      <c r="M16" s="9" t="inlineStr">
        <is>
          <t>Xào / nấu canh</t>
        </is>
      </c>
      <c r="N16" s="9" t="inlineStr">
        <is>
          <t>Nội địa</t>
        </is>
      </c>
      <c r="O16" s="9" t="inlineStr">
        <is>
          <t>Origin|Standard|Preservation|Weight|Attributes|Seasonality heuristic</t>
        </is>
      </c>
      <c r="P16" s="9" t="inlineStr">
        <is>
          <t>Origin; Season window; Standard/cert; Preservation guidance; Flavor/Texture/Usage</t>
        </is>
      </c>
      <c r="Q16" s="9" t="inlineStr">
        <is>
          <t>Trung bình</t>
        </is>
      </c>
      <c r="R16" s="9" t="inlineStr">
        <is>
          <t>B4</t>
        </is>
      </c>
      <c r="S16" s="9" t="inlineStr">
        <is>
          <t>Rau lá, rau thơm và nhóm thân/mầm; thường có quanh năm nhưng peak và vùng trồng khác nhau.</t>
        </is>
      </c>
      <c r="T16" s="9" t="inlineStr">
        <is>
          <t>Pending</t>
        </is>
      </c>
      <c r="U16" s="9" t="n"/>
      <c r="V16" s="9">
        <f>COUNTIF('Seasonality Evidence'!B:B,A16)</f>
        <v/>
      </c>
      <c r="W16" s="9">
        <f>COUNTIF('Seasonality Evidence'!B:B,A16)</f>
        <v/>
      </c>
      <c r="X16" s="9">
        <f>COUNTIF('Research Evidence'!B:B,A16)</f>
        <v/>
      </c>
      <c r="Y16" s="9" t="n"/>
      <c r="Z16" s="9" t="n"/>
      <c r="AA16" s="9" t="n"/>
      <c r="AB16" s="9" t="n"/>
      <c r="AC16" s="9" t="n"/>
      <c r="AD16" s="9" t="n"/>
      <c r="AE16" s="9" t="n"/>
      <c r="AF16" s="9" t="n"/>
      <c r="AG16" s="9" t="n"/>
      <c r="AH16" s="9" t="n"/>
      <c r="AI16" s="9" t="n"/>
      <c r="AJ16" s="9" t="n"/>
      <c r="AK16" s="9" t="n"/>
    </row>
    <row r="17">
      <c r="A17" s="9" t="n">
        <v>16</v>
      </c>
      <c r="B17" s="9" t="inlineStr">
        <is>
          <t>Rau lá</t>
        </is>
      </c>
      <c r="C17" s="9" t="inlineStr">
        <is>
          <t>Cải ngồng</t>
        </is>
      </c>
      <c r="D17" s="9" t="inlineStr">
        <is>
          <t>VEG-CN-016</t>
        </is>
      </c>
      <c r="E17" s="9" t="inlineStr">
        <is>
          <t>Lâm Đồng, Việt Nam</t>
        </is>
      </c>
      <c r="F17" s="9" t="inlineStr">
        <is>
          <t>GlobalGAP</t>
        </is>
      </c>
      <c r="G17" s="9" t="inlineStr">
        <is>
          <t>Để nơi khô thoáng, tránh nắng.</t>
        </is>
      </c>
      <c r="H17" s="9" t="inlineStr">
        <is>
          <t>500g</t>
        </is>
      </c>
      <c r="I17" s="9" t="n"/>
      <c r="J17" s="9" t="inlineStr">
        <is>
          <t>Giàu vitamin K, C, canxi... Lá xanh đậm, giòn ngọt, bổ dưỡng.</t>
        </is>
      </c>
      <c r="K17" s="9" t="inlineStr">
        <is>
          <t>Ngọt</t>
        </is>
      </c>
      <c r="L17" s="9" t="inlineStr">
        <is>
          <t>Giòn</t>
        </is>
      </c>
      <c r="M17" s="9" t="inlineStr">
        <is>
          <t>Xào / nấu canh</t>
        </is>
      </c>
      <c r="N17" s="9" t="inlineStr">
        <is>
          <t>Nội địa</t>
        </is>
      </c>
      <c r="O17" s="9" t="inlineStr">
        <is>
          <t>Origin|Standard|Preservation|Weight|Attributes|Seasonality heuristic</t>
        </is>
      </c>
      <c r="P17" s="9" t="inlineStr">
        <is>
          <t>Origin; Season window; Standard/cert; Preservation guidance; Flavor/Texture/Usage</t>
        </is>
      </c>
      <c r="Q17" s="9" t="inlineStr">
        <is>
          <t>Trung bình</t>
        </is>
      </c>
      <c r="R17" s="9" t="inlineStr">
        <is>
          <t>B4</t>
        </is>
      </c>
      <c r="S17" s="9" t="inlineStr">
        <is>
          <t>Rau lá, rau thơm và nhóm thân/mầm; thường có quanh năm nhưng peak và vùng trồng khác nhau.</t>
        </is>
      </c>
      <c r="T17" s="9" t="inlineStr">
        <is>
          <t>Pending</t>
        </is>
      </c>
      <c r="U17" s="9" t="n"/>
      <c r="V17" s="9">
        <f>COUNTIF('Seasonality Evidence'!B:B,A17)</f>
        <v/>
      </c>
      <c r="W17" s="9">
        <f>COUNTIF('Seasonality Evidence'!B:B,A17)</f>
        <v/>
      </c>
      <c r="X17" s="9">
        <f>COUNTIF('Research Evidence'!B:B,A17)</f>
        <v/>
      </c>
      <c r="Y17" s="9" t="n"/>
      <c r="Z17" s="9" t="n"/>
      <c r="AA17" s="9" t="n"/>
      <c r="AB17" s="9" t="n"/>
      <c r="AC17" s="9" t="n"/>
      <c r="AD17" s="9" t="n"/>
      <c r="AE17" s="9" t="n"/>
      <c r="AF17" s="9" t="n"/>
      <c r="AG17" s="9" t="n"/>
      <c r="AH17" s="9" t="n"/>
      <c r="AI17" s="9" t="n"/>
      <c r="AJ17" s="9" t="n"/>
      <c r="AK17" s="9" t="n"/>
    </row>
    <row r="18">
      <c r="A18" s="9" t="n">
        <v>17</v>
      </c>
      <c r="B18" s="9" t="inlineStr">
        <is>
          <t>Rau lá</t>
        </is>
      </c>
      <c r="C18" s="9" t="inlineStr">
        <is>
          <t>Rau diếp cá</t>
        </is>
      </c>
      <c r="D18" s="9" t="inlineStr">
        <is>
          <t>VEG-RDC-017</t>
        </is>
      </c>
      <c r="E18" s="9" t="inlineStr">
        <is>
          <t>Đồng Nai, Việt Nam</t>
        </is>
      </c>
      <c r="F18" s="9" t="inlineStr">
        <is>
          <t>OCOP 3 sao</t>
        </is>
      </c>
      <c r="G18" s="9" t="inlineStr">
        <is>
          <t>Giữ nơi mát, dùng trong 2 ngày.</t>
        </is>
      </c>
      <c r="H18" s="9" t="inlineStr">
        <is>
          <t>300g</t>
        </is>
      </c>
      <c r="I18" s="9" t="n"/>
      <c r="J18" s="9" t="inlineStr">
        <is>
          <t>Giàu khoáng chất, vitamin... Vị đặc trưng, tốt cho sức khỏe.</t>
        </is>
      </c>
      <c r="K18" s="9" t="inlineStr">
        <is>
          <t>Tự nhiên</t>
        </is>
      </c>
      <c r="L18" s="9" t="inlineStr">
        <is>
          <t>Tươi</t>
        </is>
      </c>
      <c r="M18" s="9" t="inlineStr">
        <is>
          <t>Salad / ăn sống</t>
        </is>
      </c>
      <c r="N18" s="9" t="inlineStr">
        <is>
          <t>Nội địa</t>
        </is>
      </c>
      <c r="O18" s="9" t="inlineStr">
        <is>
          <t>Origin|Standard|Preservation|Weight|Attributes|Seasonality heuristic</t>
        </is>
      </c>
      <c r="P18" s="9" t="inlineStr">
        <is>
          <t>Origin; Season window; Standard/cert; Preservation guidance; Flavor/Texture/Usage</t>
        </is>
      </c>
      <c r="Q18" s="9" t="inlineStr">
        <is>
          <t>Trung bình</t>
        </is>
      </c>
      <c r="R18" s="9" t="inlineStr">
        <is>
          <t>B4</t>
        </is>
      </c>
      <c r="S18" s="9" t="inlineStr">
        <is>
          <t>Rau lá, rau thơm và nhóm thân/mầm; thường có quanh năm nhưng peak và vùng trồng khác nhau.</t>
        </is>
      </c>
      <c r="T18" s="9" t="inlineStr">
        <is>
          <t>Pending</t>
        </is>
      </c>
      <c r="U18" s="9" t="n"/>
      <c r="V18" s="9">
        <f>COUNTIF('Seasonality Evidence'!B:B,A18)</f>
        <v/>
      </c>
      <c r="W18" s="9">
        <f>COUNTIF('Seasonality Evidence'!B:B,A18)</f>
        <v/>
      </c>
      <c r="X18" s="9">
        <f>COUNTIF('Research Evidence'!B:B,A18)</f>
        <v/>
      </c>
      <c r="Y18" s="9" t="n"/>
      <c r="Z18" s="9" t="n"/>
      <c r="AA18" s="9" t="n"/>
      <c r="AB18" s="9" t="n"/>
      <c r="AC18" s="9" t="n"/>
      <c r="AD18" s="9" t="n"/>
      <c r="AE18" s="9" t="n"/>
      <c r="AF18" s="9" t="n"/>
      <c r="AG18" s="9" t="n"/>
      <c r="AH18" s="9" t="n"/>
      <c r="AI18" s="9" t="n"/>
      <c r="AJ18" s="9" t="n"/>
      <c r="AK18" s="9" t="n"/>
    </row>
    <row r="19">
      <c r="A19" s="9" t="n">
        <v>18</v>
      </c>
      <c r="B19" s="9" t="inlineStr">
        <is>
          <t>Rau lá</t>
        </is>
      </c>
      <c r="C19" s="9" t="inlineStr">
        <is>
          <t>Rau má</t>
        </is>
      </c>
      <c r="D19" s="9" t="inlineStr">
        <is>
          <t>VEG-RM-018</t>
        </is>
      </c>
      <c r="E19" s="9" t="inlineStr">
        <is>
          <t>Tiền Giang, Việt Nam</t>
        </is>
      </c>
      <c r="F19" s="9" t="inlineStr">
        <is>
          <t>VietGAP</t>
        </is>
      </c>
      <c r="G19" s="9" t="inlineStr">
        <is>
          <t>Ngăn mát tủ lạnh, dùng trong 3 ngày.</t>
        </is>
      </c>
      <c r="H19" s="9" t="inlineStr">
        <is>
          <t>250g</t>
        </is>
      </c>
      <c r="I19" s="9" t="n"/>
      <c r="J19" s="9" t="inlineStr">
        <is>
          <t>Giàu vitamin B, giải nhiệt... Lá non xanh, mát gan thanh nhiệt.</t>
        </is>
      </c>
      <c r="K19" s="9" t="inlineStr">
        <is>
          <t>Thanh</t>
        </is>
      </c>
      <c r="L19" s="9" t="inlineStr">
        <is>
          <t>Tươi</t>
        </is>
      </c>
      <c r="M19" s="9" t="inlineStr">
        <is>
          <t>Salad / ăn sống</t>
        </is>
      </c>
      <c r="N19" s="9" t="inlineStr">
        <is>
          <t>Nội địa</t>
        </is>
      </c>
      <c r="O19" s="9" t="inlineStr">
        <is>
          <t>Origin|Standard|Preservation|Weight|Attributes|Seasonality heuristic</t>
        </is>
      </c>
      <c r="P19" s="9" t="inlineStr">
        <is>
          <t>Origin; Season window; Standard/cert; Preservation guidance; Flavor/Texture/Usage</t>
        </is>
      </c>
      <c r="Q19" s="9" t="inlineStr">
        <is>
          <t>Trung bình</t>
        </is>
      </c>
      <c r="R19" s="9" t="inlineStr">
        <is>
          <t>B4</t>
        </is>
      </c>
      <c r="S19" s="9" t="inlineStr">
        <is>
          <t>Rau lá, rau thơm và nhóm thân/mầm; thường có quanh năm nhưng peak và vùng trồng khác nhau.</t>
        </is>
      </c>
      <c r="T19" s="9" t="inlineStr">
        <is>
          <t>Pending</t>
        </is>
      </c>
      <c r="U19" s="9" t="n"/>
      <c r="V19" s="9">
        <f>COUNTIF('Seasonality Evidence'!B:B,A19)</f>
        <v/>
      </c>
      <c r="W19" s="9">
        <f>COUNTIF('Seasonality Evidence'!B:B,A19)</f>
        <v/>
      </c>
      <c r="X19" s="9">
        <f>COUNTIF('Research Evidence'!B:B,A19)</f>
        <v/>
      </c>
      <c r="Y19" s="9" t="n"/>
      <c r="Z19" s="9" t="n"/>
      <c r="AA19" s="9" t="n"/>
      <c r="AB19" s="9" t="n"/>
      <c r="AC19" s="9" t="n"/>
      <c r="AD19" s="9" t="n"/>
      <c r="AE19" s="9" t="n"/>
      <c r="AF19" s="9" t="n"/>
      <c r="AG19" s="9" t="n"/>
      <c r="AH19" s="9" t="n"/>
      <c r="AI19" s="9" t="n"/>
      <c r="AJ19" s="9" t="n"/>
      <c r="AK19" s="9" t="n"/>
    </row>
    <row r="20">
      <c r="A20" s="9" t="n">
        <v>19</v>
      </c>
      <c r="B20" s="9" t="inlineStr">
        <is>
          <t>Rau lá</t>
        </is>
      </c>
      <c r="C20" s="9" t="inlineStr">
        <is>
          <t>Cải xoăn kale</t>
        </is>
      </c>
      <c r="D20" s="9" t="inlineStr">
        <is>
          <t>VEG-CXK-019</t>
        </is>
      </c>
      <c r="E20" s="9" t="inlineStr">
        <is>
          <t>Đà Lạt, Việt Nam</t>
        </is>
      </c>
      <c r="F20" s="9" t="inlineStr">
        <is>
          <t>GlobalGAP</t>
        </is>
      </c>
      <c r="G20" s="9" t="inlineStr">
        <is>
          <t>Bảo quản ngăn mát 3-5°C.</t>
        </is>
      </c>
      <c r="H20" s="9" t="inlineStr">
        <is>
          <t>350g</t>
        </is>
      </c>
      <c r="I20" s="9" t="n"/>
      <c r="J20" s="9" t="inlineStr">
        <is>
          <t>Siêu thực phẩm, giàu vitamin A, K, C... Lá xanh đậm, dinh dưỡng cao.</t>
        </is>
      </c>
      <c r="K20" s="9" t="inlineStr">
        <is>
          <t>Tự nhiên</t>
        </is>
      </c>
      <c r="L20" s="9" t="inlineStr">
        <is>
          <t>Giòn</t>
        </is>
      </c>
      <c r="M20" s="9" t="inlineStr">
        <is>
          <t>Salad / ăn sống</t>
        </is>
      </c>
      <c r="N20" s="9" t="inlineStr">
        <is>
          <t>Nội địa</t>
        </is>
      </c>
      <c r="O20" s="9" t="inlineStr">
        <is>
          <t>Origin|Standard|Preservation|Weight|Attributes|Seasonality heuristic</t>
        </is>
      </c>
      <c r="P20" s="9" t="inlineStr">
        <is>
          <t>Origin; Season window; Standard/cert; Preservation guidance; Flavor/Texture/Usage</t>
        </is>
      </c>
      <c r="Q20" s="9" t="inlineStr">
        <is>
          <t>Trung bình</t>
        </is>
      </c>
      <c r="R20" s="9" t="inlineStr">
        <is>
          <t>B4</t>
        </is>
      </c>
      <c r="S20" s="9" t="inlineStr">
        <is>
          <t>Rau lá, rau thơm và nhóm thân/mầm; thường có quanh năm nhưng peak và vùng trồng khác nhau.</t>
        </is>
      </c>
      <c r="T20" s="9" t="inlineStr">
        <is>
          <t>Pending</t>
        </is>
      </c>
      <c r="U20" s="9" t="n"/>
      <c r="V20" s="9">
        <f>COUNTIF('Seasonality Evidence'!B:B,A20)</f>
        <v/>
      </c>
      <c r="W20" s="9">
        <f>COUNTIF('Seasonality Evidence'!B:B,A20)</f>
        <v/>
      </c>
      <c r="X20" s="9">
        <f>COUNTIF('Research Evidence'!B:B,A20)</f>
        <v/>
      </c>
      <c r="Y20" s="9" t="n"/>
      <c r="Z20" s="9" t="n"/>
      <c r="AA20" s="9" t="n"/>
      <c r="AB20" s="9" t="n"/>
      <c r="AC20" s="9" t="n"/>
      <c r="AD20" s="9" t="n"/>
      <c r="AE20" s="9" t="n"/>
      <c r="AF20" s="9" t="n"/>
      <c r="AG20" s="9" t="n"/>
      <c r="AH20" s="9" t="n"/>
      <c r="AI20" s="9" t="n"/>
      <c r="AJ20" s="9" t="n"/>
      <c r="AK20" s="9" t="n"/>
    </row>
    <row r="21">
      <c r="A21" s="9" t="n">
        <v>20</v>
      </c>
      <c r="B21" s="9" t="inlineStr">
        <is>
          <t>Rau ăn hoa / thân / mầm</t>
        </is>
      </c>
      <c r="C21" s="9" t="inlineStr">
        <is>
          <t>Bông cải trắng</t>
        </is>
      </c>
      <c r="D21" s="9" t="inlineStr">
        <is>
          <t>VEG-BCT-020</t>
        </is>
      </c>
      <c r="E21" s="9" t="inlineStr">
        <is>
          <t>Lâm Đồng, Việt Nam</t>
        </is>
      </c>
      <c r="F21" s="9" t="inlineStr">
        <is>
          <t>VietGAP</t>
        </is>
      </c>
      <c r="G21" s="9" t="inlineStr">
        <is>
          <t>Đặt trong hộp kín, ngăn mát.</t>
        </is>
      </c>
      <c r="H21" s="9" t="inlineStr">
        <is>
          <t>600g</t>
        </is>
      </c>
      <c r="I21" s="9" t="n"/>
      <c r="J21" s="9" t="inlineStr">
        <is>
          <t>Giàu vitamin C, chất xơ... Bông trắng đều, giòn ngọt.</t>
        </is>
      </c>
      <c r="K21" s="9" t="inlineStr">
        <is>
          <t>Ngọt</t>
        </is>
      </c>
      <c r="L21" s="9" t="inlineStr">
        <is>
          <t>Giòn</t>
        </is>
      </c>
      <c r="M21" s="9" t="inlineStr">
        <is>
          <t>Xào / nấu canh</t>
        </is>
      </c>
      <c r="N21" s="9" t="inlineStr">
        <is>
          <t>Nội địa</t>
        </is>
      </c>
      <c r="O21" s="9" t="inlineStr">
        <is>
          <t>Origin|Standard|Preservation|Weight|Attributes|Seasonality heuristic</t>
        </is>
      </c>
      <c r="P21" s="9" t="inlineStr">
        <is>
          <t>Origin; Season window; Standard/cert; Preservation guidance; Flavor/Texture/Usage</t>
        </is>
      </c>
      <c r="Q21" s="9" t="inlineStr">
        <is>
          <t>Trung bình</t>
        </is>
      </c>
      <c r="R21" s="9" t="inlineStr">
        <is>
          <t>B4</t>
        </is>
      </c>
      <c r="S21" s="9" t="inlineStr">
        <is>
          <t>Rau lá, rau thơm và nhóm thân/mầm; thường có quanh năm nhưng peak và vùng trồng khác nhau.</t>
        </is>
      </c>
      <c r="T21" s="9" t="inlineStr">
        <is>
          <t>Pending</t>
        </is>
      </c>
      <c r="U21" s="9" t="n"/>
      <c r="V21" s="9">
        <f>COUNTIF('Seasonality Evidence'!B:B,A21)</f>
        <v/>
      </c>
      <c r="W21" s="9">
        <f>COUNTIF('Seasonality Evidence'!B:B,A21)</f>
        <v/>
      </c>
      <c r="X21" s="9">
        <f>COUNTIF('Research Evidence'!B:B,A21)</f>
        <v/>
      </c>
      <c r="Y21" s="9" t="n"/>
      <c r="Z21" s="9" t="n"/>
      <c r="AA21" s="9" t="n"/>
      <c r="AB21" s="9" t="n"/>
      <c r="AC21" s="9" t="n"/>
      <c r="AD21" s="9" t="n"/>
      <c r="AE21" s="9" t="n"/>
      <c r="AF21" s="9" t="n"/>
      <c r="AG21" s="9" t="n"/>
      <c r="AH21" s="9" t="n"/>
      <c r="AI21" s="9" t="n"/>
      <c r="AJ21" s="9" t="n"/>
      <c r="AK21" s="9" t="n"/>
    </row>
    <row r="22">
      <c r="A22" s="9" t="n">
        <v>21</v>
      </c>
      <c r="B22" s="9" t="inlineStr">
        <is>
          <t>Rau ăn hoa / thân / mầm</t>
        </is>
      </c>
      <c r="C22" s="9" t="inlineStr">
        <is>
          <t>Rau mầm đậu Hà Lan</t>
        </is>
      </c>
      <c r="D22" s="9" t="inlineStr">
        <is>
          <t>VEG-RMD-021</t>
        </is>
      </c>
      <c r="E22" s="9" t="inlineStr">
        <is>
          <t>TP.HCM, Việt Nam</t>
        </is>
      </c>
      <c r="F22" s="9" t="inlineStr">
        <is>
          <t>VietGAP</t>
        </is>
      </c>
      <c r="G22" s="9" t="inlineStr">
        <is>
          <t>Dùng ngay, bảo quản ngăn mát.</t>
        </is>
      </c>
      <c r="H22" s="9" t="inlineStr">
        <is>
          <t>200g</t>
        </is>
      </c>
      <c r="I22" s="9" t="n"/>
      <c r="J22" s="9" t="inlineStr">
        <is>
          <t>Giàu protein thực vật, vitamin... Mầm tươi giòn, dễ ăn.</t>
        </is>
      </c>
      <c r="K22" s="9" t="inlineStr">
        <is>
          <t>Ngọt</t>
        </is>
      </c>
      <c r="L22" s="9" t="inlineStr">
        <is>
          <t>Giòn</t>
        </is>
      </c>
      <c r="M22" s="9" t="inlineStr">
        <is>
          <t>Salad / ăn sống</t>
        </is>
      </c>
      <c r="N22" s="9" t="inlineStr">
        <is>
          <t>Nội địa</t>
        </is>
      </c>
      <c r="O22" s="9" t="inlineStr">
        <is>
          <t>Origin|Standard|Preservation|Weight|Attributes|Seasonality heuristic</t>
        </is>
      </c>
      <c r="P22" s="9" t="inlineStr">
        <is>
          <t>Origin; Season window; Standard/cert; Preservation guidance; Flavor/Texture/Usage</t>
        </is>
      </c>
      <c r="Q22" s="9" t="inlineStr">
        <is>
          <t>Trung bình</t>
        </is>
      </c>
      <c r="R22" s="9" t="inlineStr">
        <is>
          <t>B4</t>
        </is>
      </c>
      <c r="S22" s="9" t="inlineStr">
        <is>
          <t>Rau lá, rau thơm và nhóm thân/mầm; thường có quanh năm nhưng peak và vùng trồng khác nhau.</t>
        </is>
      </c>
      <c r="T22" s="9" t="inlineStr">
        <is>
          <t>Pending</t>
        </is>
      </c>
      <c r="U22" s="9" t="n"/>
      <c r="V22" s="9">
        <f>COUNTIF('Seasonality Evidence'!B:B,A22)</f>
        <v/>
      </c>
      <c r="W22" s="9">
        <f>COUNTIF('Seasonality Evidence'!B:B,A22)</f>
        <v/>
      </c>
      <c r="X22" s="9">
        <f>COUNTIF('Research Evidence'!B:B,A22)</f>
        <v/>
      </c>
      <c r="Y22" s="9" t="n"/>
      <c r="Z22" s="9" t="n"/>
      <c r="AA22" s="9" t="n"/>
      <c r="AB22" s="9" t="n"/>
      <c r="AC22" s="9" t="n"/>
      <c r="AD22" s="9" t="n"/>
      <c r="AE22" s="9" t="n"/>
      <c r="AF22" s="9" t="n"/>
      <c r="AG22" s="9" t="n"/>
      <c r="AH22" s="9" t="n"/>
      <c r="AI22" s="9" t="n"/>
      <c r="AJ22" s="9" t="n"/>
      <c r="AK22" s="9" t="n"/>
    </row>
    <row r="23">
      <c r="A23" s="9" t="n">
        <v>22</v>
      </c>
      <c r="B23" s="9" t="inlineStr">
        <is>
          <t>Rau ăn hoa / thân / mầm</t>
        </is>
      </c>
      <c r="C23" s="9" t="inlineStr">
        <is>
          <t>Hoa thiên lý</t>
        </is>
      </c>
      <c r="D23" s="9" t="inlineStr">
        <is>
          <t>VEG-HTL-022</t>
        </is>
      </c>
      <c r="E23" s="9" t="inlineStr">
        <is>
          <t>Đà Lạt, Việt Nam</t>
        </is>
      </c>
      <c r="F23" s="9" t="inlineStr">
        <is>
          <t>GlobalGAP</t>
        </is>
      </c>
      <c r="G23" s="9" t="inlineStr">
        <is>
          <t>Giữ trong khăn ẩm, ngăn mát.</t>
        </is>
      </c>
      <c r="H23" s="9" t="inlineStr">
        <is>
          <t>250g</t>
        </is>
      </c>
      <c r="I23" s="9" t="n"/>
      <c r="J23" s="9" t="inlineStr">
        <is>
          <t>Giàu vitamin A, C... Hoa vàng tươi, giòn ngọt thanh.</t>
        </is>
      </c>
      <c r="K23" s="9" t="inlineStr">
        <is>
          <t>Ngọt thanh</t>
        </is>
      </c>
      <c r="L23" s="9" t="inlineStr">
        <is>
          <t>Giòn</t>
        </is>
      </c>
      <c r="M23" s="9" t="inlineStr">
        <is>
          <t>Xào / nấu canh</t>
        </is>
      </c>
      <c r="N23" s="9" t="inlineStr">
        <is>
          <t>Nội địa</t>
        </is>
      </c>
      <c r="O23" s="9" t="inlineStr">
        <is>
          <t>Origin|Standard|Preservation|Weight|Attributes|Seasonality heuristic</t>
        </is>
      </c>
      <c r="P23" s="9" t="inlineStr">
        <is>
          <t>Origin; Season window; Standard/cert; Preservation guidance; Flavor/Texture/Usage</t>
        </is>
      </c>
      <c r="Q23" s="9" t="inlineStr">
        <is>
          <t>Trung bình</t>
        </is>
      </c>
      <c r="R23" s="9" t="inlineStr">
        <is>
          <t>B4</t>
        </is>
      </c>
      <c r="S23" s="9" t="inlineStr">
        <is>
          <t>Rau lá, rau thơm và nhóm thân/mầm; thường có quanh năm nhưng peak và vùng trồng khác nhau.</t>
        </is>
      </c>
      <c r="T23" s="9" t="inlineStr">
        <is>
          <t>Pending</t>
        </is>
      </c>
      <c r="U23" s="9" t="n"/>
      <c r="V23" s="9">
        <f>COUNTIF('Seasonality Evidence'!B:B,A23)</f>
        <v/>
      </c>
      <c r="W23" s="9">
        <f>COUNTIF('Seasonality Evidence'!B:B,A23)</f>
        <v/>
      </c>
      <c r="X23" s="9">
        <f>COUNTIF('Research Evidence'!B:B,A23)</f>
        <v/>
      </c>
      <c r="Y23" s="9" t="n"/>
      <c r="Z23" s="9" t="n"/>
      <c r="AA23" s="9" t="n"/>
      <c r="AB23" s="9" t="n"/>
      <c r="AC23" s="9" t="n"/>
      <c r="AD23" s="9" t="n"/>
      <c r="AE23" s="9" t="n"/>
      <c r="AF23" s="9" t="n"/>
      <c r="AG23" s="9" t="n"/>
      <c r="AH23" s="9" t="n"/>
      <c r="AI23" s="9" t="n"/>
      <c r="AJ23" s="9" t="n"/>
      <c r="AK23" s="9" t="n"/>
    </row>
    <row r="24">
      <c r="A24" s="9" t="n">
        <v>23</v>
      </c>
      <c r="B24" s="9" t="inlineStr">
        <is>
          <t>Rau ăn quả</t>
        </is>
      </c>
      <c r="C24" s="9" t="inlineStr">
        <is>
          <t>Cà tím</t>
        </is>
      </c>
      <c r="D24" s="9" t="inlineStr">
        <is>
          <t>VEG-CT-023</t>
        </is>
      </c>
      <c r="E24" s="9" t="inlineStr">
        <is>
          <t>Bình Thuận, Việt Nam</t>
        </is>
      </c>
      <c r="F24" s="9" t="inlineStr">
        <is>
          <t>VietGAP</t>
        </is>
      </c>
      <c r="G24" s="9" t="inlineStr">
        <is>
          <t>Để nơi khô mát 5-7 ngày.</t>
        </is>
      </c>
      <c r="H24" s="9" t="inlineStr">
        <is>
          <t>500g</t>
        </is>
      </c>
      <c r="I24" s="9" t="n"/>
      <c r="J24" s="9" t="inlineStr">
        <is>
          <t>Giàu chất xơ, vitamin B... Quả tím đẹp, thịt mềm ngọt.</t>
        </is>
      </c>
      <c r="K24" s="9" t="inlineStr">
        <is>
          <t>Ngọt</t>
        </is>
      </c>
      <c r="L24" s="9" t="inlineStr">
        <is>
          <t>Mềm</t>
        </is>
      </c>
      <c r="M24" s="9" t="inlineStr">
        <is>
          <t>Xào</t>
        </is>
      </c>
      <c r="N24" s="9" t="inlineStr">
        <is>
          <t>Nội địa</t>
        </is>
      </c>
      <c r="O24" s="9" t="inlineStr">
        <is>
          <t>Origin|Standard|Preservation|Weight|Attributes|Seasonality heuristic</t>
        </is>
      </c>
      <c r="P24" s="9" t="inlineStr">
        <is>
          <t>Origin; Season window; Standard/cert; Preservation guidance; Flavor/Texture/Usage</t>
        </is>
      </c>
      <c r="Q24" s="9" t="inlineStr">
        <is>
          <t>Trung bình</t>
        </is>
      </c>
      <c r="R24" s="9" t="inlineStr">
        <is>
          <t>B5</t>
        </is>
      </c>
      <c r="S24" s="9" t="inlineStr">
        <is>
          <t>Rau ăn quả, củ/rễ, nấm và nhóm còn lại; kiểm tra seasonality/cultivation theo vùng hoặc mô hình trồng.</t>
        </is>
      </c>
      <c r="T24" s="9" t="inlineStr">
        <is>
          <t>Pending</t>
        </is>
      </c>
      <c r="U24" s="9" t="n"/>
      <c r="V24" s="9">
        <f>COUNTIF('Seasonality Evidence'!B:B,A24)</f>
        <v/>
      </c>
      <c r="W24" s="9">
        <f>COUNTIF('Seasonality Evidence'!B:B,A24)</f>
        <v/>
      </c>
      <c r="X24" s="9">
        <f>COUNTIF('Research Evidence'!B:B,A24)</f>
        <v/>
      </c>
      <c r="Y24" s="9" t="n"/>
      <c r="Z24" s="9" t="n"/>
      <c r="AA24" s="9" t="n"/>
      <c r="AB24" s="9" t="n"/>
      <c r="AC24" s="9" t="n"/>
      <c r="AD24" s="9" t="n"/>
      <c r="AE24" s="9" t="n"/>
      <c r="AF24" s="9" t="n"/>
      <c r="AG24" s="9" t="n"/>
      <c r="AH24" s="9" t="n"/>
      <c r="AI24" s="9" t="n"/>
      <c r="AJ24" s="9" t="n"/>
      <c r="AK24" s="9" t="n"/>
    </row>
    <row r="25">
      <c r="A25" s="9" t="n">
        <v>24</v>
      </c>
      <c r="B25" s="9" t="inlineStr">
        <is>
          <t>Rau ăn quả</t>
        </is>
      </c>
      <c r="C25" s="9" t="inlineStr">
        <is>
          <t>Đậu cove</t>
        </is>
      </c>
      <c r="D25" s="9" t="inlineStr">
        <is>
          <t>VEG-DC-024</t>
        </is>
      </c>
      <c r="E25" s="9" t="inlineStr">
        <is>
          <t>Lâm Đồng, Việt Nam</t>
        </is>
      </c>
      <c r="F25" s="9" t="inlineStr">
        <is>
          <t>VietGAP</t>
        </is>
      </c>
      <c r="G25" s="9" t="inlineStr">
        <is>
          <t>Bảo quản ngăn mát, dùng trong 4 ngày.</t>
        </is>
      </c>
      <c r="H25" s="9" t="inlineStr">
        <is>
          <t>400g</t>
        </is>
      </c>
      <c r="I25" s="9" t="n"/>
      <c r="J25" s="9" t="inlineStr">
        <is>
          <t>Giàu protein, vitamin K... Quả xanh giòn, ngọt nhẹ.</t>
        </is>
      </c>
      <c r="K25" s="9" t="inlineStr">
        <is>
          <t>Ngọt nhẹ</t>
        </is>
      </c>
      <c r="L25" s="9" t="inlineStr">
        <is>
          <t>Giòn</t>
        </is>
      </c>
      <c r="M25" s="9" t="inlineStr">
        <is>
          <t>Xào / nấu canh</t>
        </is>
      </c>
      <c r="N25" s="9" t="inlineStr">
        <is>
          <t>Nội địa</t>
        </is>
      </c>
      <c r="O25" s="9" t="inlineStr">
        <is>
          <t>Origin|Standard|Preservation|Weight|Attributes|Seasonality heuristic</t>
        </is>
      </c>
      <c r="P25" s="9" t="inlineStr">
        <is>
          <t>Origin; Season window; Standard/cert; Preservation guidance; Flavor/Texture/Usage</t>
        </is>
      </c>
      <c r="Q25" s="9" t="inlineStr">
        <is>
          <t>Trung bình</t>
        </is>
      </c>
      <c r="R25" s="9" t="inlineStr">
        <is>
          <t>B5</t>
        </is>
      </c>
      <c r="S25" s="9" t="inlineStr">
        <is>
          <t>Rau ăn quả, củ/rễ, nấm và nhóm còn lại; kiểm tra seasonality/cultivation theo vùng hoặc mô hình trồng.</t>
        </is>
      </c>
      <c r="T25" s="9" t="inlineStr">
        <is>
          <t>Pending</t>
        </is>
      </c>
      <c r="U25" s="9" t="n"/>
      <c r="V25" s="9">
        <f>COUNTIF('Seasonality Evidence'!B:B,A25)</f>
        <v/>
      </c>
      <c r="W25" s="9">
        <f>COUNTIF('Seasonality Evidence'!B:B,A25)</f>
        <v/>
      </c>
      <c r="X25" s="9">
        <f>COUNTIF('Research Evidence'!B:B,A25)</f>
        <v/>
      </c>
      <c r="Y25" s="9" t="n"/>
      <c r="Z25" s="9" t="n"/>
      <c r="AA25" s="9" t="n"/>
      <c r="AB25" s="9" t="n"/>
      <c r="AC25" s="9" t="n"/>
      <c r="AD25" s="9" t="n"/>
      <c r="AE25" s="9" t="n"/>
      <c r="AF25" s="9" t="n"/>
      <c r="AG25" s="9" t="n"/>
      <c r="AH25" s="9" t="n"/>
      <c r="AI25" s="9" t="n"/>
      <c r="AJ25" s="9" t="n"/>
      <c r="AK25" s="9" t="n"/>
    </row>
    <row r="26">
      <c r="A26" s="9" t="n">
        <v>25</v>
      </c>
      <c r="B26" s="9" t="inlineStr">
        <is>
          <t>Rau ăn quả</t>
        </is>
      </c>
      <c r="C26" s="9" t="inlineStr">
        <is>
          <t>Ớt chuông</t>
        </is>
      </c>
      <c r="D26" s="9" t="inlineStr">
        <is>
          <t>VEG-OC-025</t>
        </is>
      </c>
      <c r="E26" s="9" t="inlineStr">
        <is>
          <t>Đà Lạt, Việt Nam</t>
        </is>
      </c>
      <c r="F26" s="9" t="inlineStr">
        <is>
          <t>GlobalGAP</t>
        </is>
      </c>
      <c r="G26" s="9" t="inlineStr">
        <is>
          <t>Giữ nơi khô ráo, thoáng mát.</t>
        </is>
      </c>
      <c r="H26" s="9" t="inlineStr">
        <is>
          <t>450g</t>
        </is>
      </c>
      <c r="I26" s="9" t="n"/>
      <c r="J26" s="9" t="inlineStr">
        <is>
          <t>Giàu vitamin C, A... Quả đỏ/vàng/xanh, giòn ngọt.</t>
        </is>
      </c>
      <c r="K26" s="9" t="inlineStr">
        <is>
          <t>Ngọt</t>
        </is>
      </c>
      <c r="L26" s="9" t="inlineStr">
        <is>
          <t>Giòn</t>
        </is>
      </c>
      <c r="M26" s="9" t="inlineStr">
        <is>
          <t>Salad / ăn sống</t>
        </is>
      </c>
      <c r="N26" s="9" t="inlineStr">
        <is>
          <t>Nội địa</t>
        </is>
      </c>
      <c r="O26" s="9" t="inlineStr">
        <is>
          <t>Origin|Standard|Preservation|Weight|Attributes|Seasonality heuristic</t>
        </is>
      </c>
      <c r="P26" s="9" t="inlineStr">
        <is>
          <t>Origin; Season window; Standard/cert; Preservation guidance; Flavor/Texture/Usage</t>
        </is>
      </c>
      <c r="Q26" s="9" t="inlineStr">
        <is>
          <t>Trung bình</t>
        </is>
      </c>
      <c r="R26" s="9" t="inlineStr">
        <is>
          <t>B5</t>
        </is>
      </c>
      <c r="S26" s="9" t="inlineStr">
        <is>
          <t>Rau ăn quả, củ/rễ, nấm và nhóm còn lại; kiểm tra seasonality/cultivation theo vùng hoặc mô hình trồng.</t>
        </is>
      </c>
      <c r="T26" s="9" t="inlineStr">
        <is>
          <t>Pending</t>
        </is>
      </c>
      <c r="U26" s="9" t="n"/>
      <c r="V26" s="9">
        <f>COUNTIF('Seasonality Evidence'!B:B,A26)</f>
        <v/>
      </c>
      <c r="W26" s="9">
        <f>COUNTIF('Seasonality Evidence'!B:B,A26)</f>
        <v/>
      </c>
      <c r="X26" s="9">
        <f>COUNTIF('Research Evidence'!B:B,A26)</f>
        <v/>
      </c>
      <c r="Y26" s="9" t="n"/>
      <c r="Z26" s="9" t="n"/>
      <c r="AA26" s="9" t="n"/>
      <c r="AB26" s="9" t="n"/>
      <c r="AC26" s="9" t="n"/>
      <c r="AD26" s="9" t="n"/>
      <c r="AE26" s="9" t="n"/>
      <c r="AF26" s="9" t="n"/>
      <c r="AG26" s="9" t="n"/>
      <c r="AH26" s="9" t="n"/>
      <c r="AI26" s="9" t="n"/>
      <c r="AJ26" s="9" t="n"/>
      <c r="AK26" s="9" t="n"/>
    </row>
    <row r="27">
      <c r="A27" s="9" t="n">
        <v>26</v>
      </c>
      <c r="B27" s="9" t="inlineStr">
        <is>
          <t>Củ &amp; rễ</t>
        </is>
      </c>
      <c r="C27" s="9" t="inlineStr">
        <is>
          <t>Củ dền</t>
        </is>
      </c>
      <c r="D27" s="9" t="inlineStr">
        <is>
          <t>VEG-CD-026</t>
        </is>
      </c>
      <c r="E27" s="9" t="inlineStr">
        <is>
          <t>Đà Lạt, Việt Nam</t>
        </is>
      </c>
      <c r="F27" s="9" t="inlineStr">
        <is>
          <t>VietGAP</t>
        </is>
      </c>
      <c r="G27" s="9" t="inlineStr">
        <is>
          <t>Để nơi khô mát, có thể để 2 tuần.</t>
        </is>
      </c>
      <c r="H27" s="9" t="inlineStr">
        <is>
          <t>600g</t>
        </is>
      </c>
      <c r="I27" s="9" t="n"/>
      <c r="J27" s="9" t="inlineStr">
        <is>
          <t>Giàu sắt, folate... Củ đỏ thẫm, ngọt tự nhiên.</t>
        </is>
      </c>
      <c r="K27" s="9" t="inlineStr">
        <is>
          <t>Ngọt</t>
        </is>
      </c>
      <c r="L27" s="9" t="inlineStr">
        <is>
          <t>Tươi</t>
        </is>
      </c>
      <c r="M27" s="9" t="inlineStr">
        <is>
          <t>Salad / ăn sống</t>
        </is>
      </c>
      <c r="N27" s="9" t="inlineStr">
        <is>
          <t>Nội địa</t>
        </is>
      </c>
      <c r="O27" s="9" t="inlineStr">
        <is>
          <t>Origin|Standard|Preservation|Weight|Attributes|Seasonality heuristic</t>
        </is>
      </c>
      <c r="P27" s="9" t="inlineStr">
        <is>
          <t>Origin; Season window; Standard/cert; Preservation guidance; Flavor/Texture/Usage</t>
        </is>
      </c>
      <c r="Q27" s="9" t="inlineStr">
        <is>
          <t>Trung bình</t>
        </is>
      </c>
      <c r="R27" s="9" t="inlineStr">
        <is>
          <t>B5</t>
        </is>
      </c>
      <c r="S27" s="9" t="inlineStr">
        <is>
          <t>Rau ăn quả, củ/rễ, nấm và nhóm còn lại; kiểm tra seasonality/cultivation theo vùng hoặc mô hình trồng.</t>
        </is>
      </c>
      <c r="T27" s="9" t="inlineStr">
        <is>
          <t>Pending</t>
        </is>
      </c>
      <c r="U27" s="9" t="n"/>
      <c r="V27" s="9">
        <f>COUNTIF('Seasonality Evidence'!B:B,A27)</f>
        <v/>
      </c>
      <c r="W27" s="9">
        <f>COUNTIF('Seasonality Evidence'!B:B,A27)</f>
        <v/>
      </c>
      <c r="X27" s="9">
        <f>COUNTIF('Research Evidence'!B:B,A27)</f>
        <v/>
      </c>
      <c r="Y27" s="9" t="n"/>
      <c r="Z27" s="9" t="n"/>
      <c r="AA27" s="9" t="n"/>
      <c r="AB27" s="9" t="n"/>
      <c r="AC27" s="9" t="n"/>
      <c r="AD27" s="9" t="n"/>
      <c r="AE27" s="9" t="n"/>
      <c r="AF27" s="9" t="n"/>
      <c r="AG27" s="9" t="n"/>
      <c r="AH27" s="9" t="n"/>
      <c r="AI27" s="9" t="n"/>
      <c r="AJ27" s="9" t="n"/>
      <c r="AK27" s="9" t="n"/>
    </row>
    <row r="28">
      <c r="A28" s="9" t="n">
        <v>27</v>
      </c>
      <c r="B28" s="9" t="inlineStr">
        <is>
          <t>Củ &amp; rễ</t>
        </is>
      </c>
      <c r="C28" s="9" t="inlineStr">
        <is>
          <t>Khoai lang tím</t>
        </is>
      </c>
      <c r="D28" s="9" t="inlineStr">
        <is>
          <t>VEG-KLT-027</t>
        </is>
      </c>
      <c r="E28" s="9" t="inlineStr">
        <is>
          <t>Bình Dương, Việt Nam</t>
        </is>
      </c>
      <c r="F28" s="9" t="inlineStr">
        <is>
          <t>OCOP 4 sao</t>
        </is>
      </c>
      <c r="G28" s="9" t="inlineStr">
        <is>
          <t>Nơi khô thoáng, có thể để 3 tuần.</t>
        </is>
      </c>
      <c r="H28" s="9" t="inlineStr">
        <is>
          <t>700g</t>
        </is>
      </c>
      <c r="I28" s="9" t="n"/>
      <c r="J28" s="9" t="inlineStr">
        <is>
          <t>Giàu anthocyanin, chất xơ... Củ tím đẹp, ngọt bùi.</t>
        </is>
      </c>
      <c r="K28" s="9" t="inlineStr">
        <is>
          <t>Ngọt</t>
        </is>
      </c>
      <c r="L28" s="9" t="inlineStr">
        <is>
          <t>Tươi</t>
        </is>
      </c>
      <c r="M28" s="9" t="inlineStr">
        <is>
          <t>Nướng</t>
        </is>
      </c>
      <c r="N28" s="9" t="inlineStr">
        <is>
          <t>Nội địa</t>
        </is>
      </c>
      <c r="O28" s="9" t="inlineStr">
        <is>
          <t>Origin|Standard|Preservation|Weight|Attributes|Seasonality heuristic</t>
        </is>
      </c>
      <c r="P28" s="9" t="inlineStr">
        <is>
          <t>Origin; Season window; Standard/cert; Preservation guidance; Flavor/Texture/Usage</t>
        </is>
      </c>
      <c r="Q28" s="9" t="inlineStr">
        <is>
          <t>Trung bình</t>
        </is>
      </c>
      <c r="R28" s="9" t="inlineStr">
        <is>
          <t>B5</t>
        </is>
      </c>
      <c r="S28" s="9" t="inlineStr">
        <is>
          <t>Rau ăn quả, củ/rễ, nấm và nhóm còn lại; kiểm tra seasonality/cultivation theo vùng hoặc mô hình trồng.</t>
        </is>
      </c>
      <c r="T28" s="9" t="inlineStr">
        <is>
          <t>Pending</t>
        </is>
      </c>
      <c r="U28" s="9" t="n"/>
      <c r="V28" s="9">
        <f>COUNTIF('Seasonality Evidence'!B:B,A28)</f>
        <v/>
      </c>
      <c r="W28" s="9">
        <f>COUNTIF('Seasonality Evidence'!B:B,A28)</f>
        <v/>
      </c>
      <c r="X28" s="9">
        <f>COUNTIF('Research Evidence'!B:B,A28)</f>
        <v/>
      </c>
      <c r="Y28" s="9" t="n"/>
      <c r="Z28" s="9" t="n"/>
      <c r="AA28" s="9" t="n"/>
      <c r="AB28" s="9" t="n"/>
      <c r="AC28" s="9" t="n"/>
      <c r="AD28" s="9" t="n"/>
      <c r="AE28" s="9" t="n"/>
      <c r="AF28" s="9" t="n"/>
      <c r="AG28" s="9" t="n"/>
      <c r="AH28" s="9" t="n"/>
      <c r="AI28" s="9" t="n"/>
      <c r="AJ28" s="9" t="n"/>
      <c r="AK28" s="9" t="n"/>
    </row>
    <row r="29">
      <c r="A29" s="9" t="n">
        <v>28</v>
      </c>
      <c r="B29" s="9" t="inlineStr">
        <is>
          <t>Nấm</t>
        </is>
      </c>
      <c r="C29" s="9" t="inlineStr">
        <is>
          <t>Nấm đùi gà</t>
        </is>
      </c>
      <c r="D29" s="9" t="inlineStr">
        <is>
          <t>VEG-NDG-028</t>
        </is>
      </c>
      <c r="E29" s="9" t="inlineStr">
        <is>
          <t>Lâm Đồng, Việt Nam</t>
        </is>
      </c>
      <c r="F29" s="9" t="inlineStr">
        <is>
          <t>GlobalGAP</t>
        </is>
      </c>
      <c r="G29" s="9" t="inlineStr">
        <is>
          <t>Ngăn mát 3-5°C, dùng trong 4 ngày.</t>
        </is>
      </c>
      <c r="H29" s="9" t="inlineStr">
        <is>
          <t>300g</t>
        </is>
      </c>
      <c r="I29" s="9" t="n"/>
      <c r="J29" s="9" t="inlineStr">
        <is>
          <t>Giàu đạm thực vật, vitamin D... Nấm trắng, thơm ngon.</t>
        </is>
      </c>
      <c r="K29" s="9" t="inlineStr">
        <is>
          <t>Tự nhiên</t>
        </is>
      </c>
      <c r="L29" s="9" t="inlineStr">
        <is>
          <t>Tươi</t>
        </is>
      </c>
      <c r="M29" s="9" t="inlineStr">
        <is>
          <t>Xào / nấu canh</t>
        </is>
      </c>
      <c r="N29" s="9" t="inlineStr">
        <is>
          <t>Nội địa</t>
        </is>
      </c>
      <c r="O29" s="9" t="inlineStr">
        <is>
          <t>Origin|Standard|Preservation|Weight|Attributes|Seasonality heuristic</t>
        </is>
      </c>
      <c r="P29" s="9" t="inlineStr">
        <is>
          <t>Origin; Season window; Standard/cert; Preservation guidance; Flavor/Texture/Usage</t>
        </is>
      </c>
      <c r="Q29" s="9" t="inlineStr">
        <is>
          <t>Trung bình</t>
        </is>
      </c>
      <c r="R29" s="9" t="inlineStr">
        <is>
          <t>B5</t>
        </is>
      </c>
      <c r="S29" s="9" t="inlineStr">
        <is>
          <t>Rau ăn quả, củ/rễ, nấm và nhóm còn lại; kiểm tra seasonality/cultivation theo vùng hoặc mô hình trồng.</t>
        </is>
      </c>
      <c r="T29" s="9" t="inlineStr">
        <is>
          <t>Pending</t>
        </is>
      </c>
      <c r="U29" s="9" t="n"/>
      <c r="V29" s="9">
        <f>COUNTIF('Seasonality Evidence'!B:B,A29)</f>
        <v/>
      </c>
      <c r="W29" s="9">
        <f>COUNTIF('Seasonality Evidence'!B:B,A29)</f>
        <v/>
      </c>
      <c r="X29" s="9">
        <f>COUNTIF('Research Evidence'!B:B,A29)</f>
        <v/>
      </c>
      <c r="Y29" s="9" t="n"/>
      <c r="Z29" s="9" t="n"/>
      <c r="AA29" s="9" t="n"/>
      <c r="AB29" s="9" t="n"/>
      <c r="AC29" s="9" t="n"/>
      <c r="AD29" s="9" t="n"/>
      <c r="AE29" s="9" t="n"/>
      <c r="AF29" s="9" t="n"/>
      <c r="AG29" s="9" t="n"/>
      <c r="AH29" s="9" t="n"/>
      <c r="AI29" s="9" t="n"/>
      <c r="AJ29" s="9" t="n"/>
      <c r="AK29" s="9" t="n"/>
    </row>
    <row r="30">
      <c r="A30" s="9" t="n">
        <v>29</v>
      </c>
      <c r="B30" s="9" t="inlineStr">
        <is>
          <t>Nấm</t>
        </is>
      </c>
      <c r="C30" s="9" t="inlineStr">
        <is>
          <t>Nấm mỡ</t>
        </is>
      </c>
      <c r="D30" s="9" t="inlineStr">
        <is>
          <t>VEG-NM-029</t>
        </is>
      </c>
      <c r="E30" s="9" t="inlineStr">
        <is>
          <t>Đà Lạt, Việt Nam</t>
        </is>
      </c>
      <c r="F30" s="9" t="inlineStr">
        <is>
          <t>VietGAP</t>
        </is>
      </c>
      <c r="G30" s="9" t="inlineStr">
        <is>
          <t>Bảo quản ngăn mát, dùng trong 3 ngày.</t>
        </is>
      </c>
      <c r="H30" s="9" t="inlineStr">
        <is>
          <t>250g</t>
        </is>
      </c>
      <c r="I30" s="9" t="n"/>
      <c r="J30" s="9" t="inlineStr">
        <is>
          <t>Giàu chất béo tốt, đạm... Nấm vàng ươm, béo ngậy.</t>
        </is>
      </c>
      <c r="K30" s="9" t="inlineStr">
        <is>
          <t>Tự nhiên</t>
        </is>
      </c>
      <c r="L30" s="9" t="inlineStr">
        <is>
          <t>Tươi</t>
        </is>
      </c>
      <c r="M30" s="9" t="inlineStr">
        <is>
          <t>Xào</t>
        </is>
      </c>
      <c r="N30" s="9" t="inlineStr">
        <is>
          <t>Nội địa</t>
        </is>
      </c>
      <c r="O30" s="9" t="inlineStr">
        <is>
          <t>Origin|Standard|Preservation|Weight|Attributes|Seasonality heuristic</t>
        </is>
      </c>
      <c r="P30" s="9" t="inlineStr">
        <is>
          <t>Origin; Season window; Standard/cert; Preservation guidance; Flavor/Texture/Usage</t>
        </is>
      </c>
      <c r="Q30" s="9" t="inlineStr">
        <is>
          <t>Trung bình</t>
        </is>
      </c>
      <c r="R30" s="9" t="inlineStr">
        <is>
          <t>B5</t>
        </is>
      </c>
      <c r="S30" s="9" t="inlineStr">
        <is>
          <t>Rau ăn quả, củ/rễ, nấm và nhóm còn lại; kiểm tra seasonality/cultivation theo vùng hoặc mô hình trồng.</t>
        </is>
      </c>
      <c r="T30" s="9" t="inlineStr">
        <is>
          <t>Pending</t>
        </is>
      </c>
      <c r="U30" s="9" t="n"/>
      <c r="V30" s="9">
        <f>COUNTIF('Seasonality Evidence'!B:B,A30)</f>
        <v/>
      </c>
      <c r="W30" s="9">
        <f>COUNTIF('Seasonality Evidence'!B:B,A30)</f>
        <v/>
      </c>
      <c r="X30" s="9">
        <f>COUNTIF('Research Evidence'!B:B,A30)</f>
        <v/>
      </c>
      <c r="Y30" s="9" t="n"/>
      <c r="Z30" s="9" t="n"/>
      <c r="AA30" s="9" t="n"/>
      <c r="AB30" s="9" t="n"/>
      <c r="AC30" s="9" t="n"/>
      <c r="AD30" s="9" t="n"/>
      <c r="AE30" s="9" t="n"/>
      <c r="AF30" s="9" t="n"/>
      <c r="AG30" s="9" t="n"/>
      <c r="AH30" s="9" t="n"/>
      <c r="AI30" s="9" t="n"/>
      <c r="AJ30" s="9" t="n"/>
      <c r="AK30" s="9" t="n"/>
    </row>
    <row r="31">
      <c r="A31" s="9" t="n">
        <v>30</v>
      </c>
      <c r="B31" s="9" t="inlineStr">
        <is>
          <t>Rau lá</t>
        </is>
      </c>
      <c r="C31" s="9" t="inlineStr">
        <is>
          <t>Xà lách xoăn</t>
        </is>
      </c>
      <c r="D31" s="9" t="inlineStr">
        <is>
          <t>VEG-XLX-030</t>
        </is>
      </c>
      <c r="E31" s="9" t="inlineStr">
        <is>
          <t>Đà Lạt, Việt Nam</t>
        </is>
      </c>
      <c r="F31" s="9" t="inlineStr">
        <is>
          <t>VietGAP</t>
        </is>
      </c>
      <c r="G31" s="9" t="inlineStr">
        <is>
          <t>Bảo quản ngăn mát, dùng trong 3 ngày.</t>
        </is>
      </c>
      <c r="H31" s="9" t="inlineStr">
        <is>
          <t>300g</t>
        </is>
      </c>
      <c r="I31" s="9" t="n"/>
      <c r="J31" s="9" t="inlineStr">
        <is>
          <t>Giàu vitamin A, K, folate... Lá xanh xoăn, giòn ngọt, bổ dưỡng.</t>
        </is>
      </c>
      <c r="K31" s="9" t="inlineStr">
        <is>
          <t>Ngọt</t>
        </is>
      </c>
      <c r="L31" s="9" t="inlineStr">
        <is>
          <t>Giòn</t>
        </is>
      </c>
      <c r="M31" s="9" t="inlineStr">
        <is>
          <t>Salad / ăn sống</t>
        </is>
      </c>
      <c r="N31" s="9" t="inlineStr">
        <is>
          <t>Nội địa</t>
        </is>
      </c>
      <c r="O31" s="9" t="inlineStr">
        <is>
          <t>Origin|Standard|Preservation|Weight|Attributes|Seasonality heuristic</t>
        </is>
      </c>
      <c r="P31" s="9" t="inlineStr">
        <is>
          <t>Origin; Season window; Standard/cert; Preservation guidance; Flavor/Texture/Usage</t>
        </is>
      </c>
      <c r="Q31" s="9" t="inlineStr">
        <is>
          <t>Trung bình</t>
        </is>
      </c>
      <c r="R31" s="9" t="inlineStr">
        <is>
          <t>B4</t>
        </is>
      </c>
      <c r="S31" s="9" t="inlineStr">
        <is>
          <t>Rau lá, rau thơm và nhóm thân/mầm; thường có quanh năm nhưng peak và vùng trồng khác nhau.</t>
        </is>
      </c>
      <c r="T31" s="9" t="inlineStr">
        <is>
          <t>Pending</t>
        </is>
      </c>
      <c r="U31" s="9" t="n"/>
      <c r="V31" s="9">
        <f>COUNTIF('Seasonality Evidence'!B:B,A31)</f>
        <v/>
      </c>
      <c r="W31" s="9">
        <f>COUNTIF('Seasonality Evidence'!B:B,A31)</f>
        <v/>
      </c>
      <c r="X31" s="9">
        <f>COUNTIF('Research Evidence'!B:B,A31)</f>
        <v/>
      </c>
      <c r="Y31" s="9" t="n"/>
      <c r="Z31" s="9" t="n"/>
      <c r="AA31" s="9" t="n"/>
      <c r="AB31" s="9" t="n"/>
      <c r="AC31" s="9" t="n"/>
      <c r="AD31" s="9" t="n"/>
      <c r="AE31" s="9" t="n"/>
      <c r="AF31" s="9" t="n"/>
      <c r="AG31" s="9" t="n"/>
      <c r="AH31" s="9" t="n"/>
      <c r="AI31" s="9" t="n"/>
      <c r="AJ31" s="9" t="n"/>
      <c r="AK31" s="9" t="n"/>
    </row>
    <row r="32">
      <c r="A32" s="9" t="n">
        <v>31</v>
      </c>
      <c r="B32" s="9" t="inlineStr">
        <is>
          <t>Rau lá</t>
        </is>
      </c>
      <c r="C32" s="9" t="inlineStr">
        <is>
          <t>Rau mồng tơi</t>
        </is>
      </c>
      <c r="D32" s="9" t="inlineStr">
        <is>
          <t>VEG-RMT-031</t>
        </is>
      </c>
      <c r="E32" s="9" t="inlineStr">
        <is>
          <t>Long An, Việt Nam</t>
        </is>
      </c>
      <c r="F32" s="9" t="inlineStr">
        <is>
          <t>VietGAP</t>
        </is>
      </c>
      <c r="G32" s="9" t="inlineStr">
        <is>
          <t>Giữ nơi khô mát, dùng trong 2 ngày.</t>
        </is>
      </c>
      <c r="H32" s="9" t="inlineStr">
        <is>
          <t>400g</t>
        </is>
      </c>
      <c r="I32" s="9" t="n"/>
      <c r="J32" s="9" t="inlineStr">
        <is>
          <t>Giàu vitamin A, C, sắt... Lá xanh mướt, nhớt tự nhiên, giải nhiệt.</t>
        </is>
      </c>
      <c r="K32" s="9" t="inlineStr">
        <is>
          <t>Tự nhiên</t>
        </is>
      </c>
      <c r="L32" s="9" t="inlineStr">
        <is>
          <t>Tươi</t>
        </is>
      </c>
      <c r="M32" s="9" t="inlineStr">
        <is>
          <t>Xào / nấu canh</t>
        </is>
      </c>
      <c r="N32" s="9" t="inlineStr">
        <is>
          <t>Nội địa</t>
        </is>
      </c>
      <c r="O32" s="9" t="inlineStr">
        <is>
          <t>Origin|Standard|Preservation|Weight|Attributes|Seasonality heuristic</t>
        </is>
      </c>
      <c r="P32" s="9" t="inlineStr">
        <is>
          <t>Origin; Season window; Standard/cert; Preservation guidance; Flavor/Texture/Usage</t>
        </is>
      </c>
      <c r="Q32" s="9" t="inlineStr">
        <is>
          <t>Trung bình</t>
        </is>
      </c>
      <c r="R32" s="9" t="inlineStr">
        <is>
          <t>B4</t>
        </is>
      </c>
      <c r="S32" s="9" t="inlineStr">
        <is>
          <t>Rau lá, rau thơm và nhóm thân/mầm; thường có quanh năm nhưng peak và vùng trồng khác nhau.</t>
        </is>
      </c>
      <c r="T32" s="9" t="inlineStr">
        <is>
          <t>Pending</t>
        </is>
      </c>
      <c r="U32" s="9" t="n"/>
      <c r="V32" s="9">
        <f>COUNTIF('Seasonality Evidence'!B:B,A32)</f>
        <v/>
      </c>
      <c r="W32" s="9">
        <f>COUNTIF('Seasonality Evidence'!B:B,A32)</f>
        <v/>
      </c>
      <c r="X32" s="9">
        <f>COUNTIF('Research Evidence'!B:B,A32)</f>
        <v/>
      </c>
      <c r="Y32" s="9" t="n"/>
      <c r="Z32" s="9" t="n"/>
      <c r="AA32" s="9" t="n"/>
      <c r="AB32" s="9" t="n"/>
      <c r="AC32" s="9" t="n"/>
      <c r="AD32" s="9" t="n"/>
      <c r="AE32" s="9" t="n"/>
      <c r="AF32" s="9" t="n"/>
      <c r="AG32" s="9" t="n"/>
      <c r="AH32" s="9" t="n"/>
      <c r="AI32" s="9" t="n"/>
      <c r="AJ32" s="9" t="n"/>
      <c r="AK32" s="9" t="n"/>
    </row>
    <row r="33">
      <c r="A33" s="9" t="n">
        <v>32</v>
      </c>
      <c r="B33" s="9" t="inlineStr">
        <is>
          <t>Rau lá</t>
        </is>
      </c>
      <c r="C33" s="9" t="inlineStr">
        <is>
          <t>Cải chíp</t>
        </is>
      </c>
      <c r="D33" s="9" t="inlineStr">
        <is>
          <t>VEG-CC-032</t>
        </is>
      </c>
      <c r="E33" s="9" t="inlineStr">
        <is>
          <t>Lâm Đồng, Việt Nam</t>
        </is>
      </c>
      <c r="F33" s="9" t="inlineStr">
        <is>
          <t>GlobalGAP</t>
        </is>
      </c>
      <c r="G33" s="9" t="inlineStr">
        <is>
          <t>Ngăn mát tủ lạnh 2-3 ngày.</t>
        </is>
      </c>
      <c r="H33" s="9" t="inlineStr">
        <is>
          <t>350g</t>
        </is>
      </c>
      <c r="I33" s="9" t="n"/>
      <c r="J33" s="9" t="inlineStr">
        <is>
          <t>Giàu vitamin C, K, canxi... Lá xanh non, vị ngọt nhẹ.</t>
        </is>
      </c>
      <c r="K33" s="9" t="inlineStr">
        <is>
          <t>Ngọt nhẹ</t>
        </is>
      </c>
      <c r="L33" s="9" t="inlineStr">
        <is>
          <t>Giòn</t>
        </is>
      </c>
      <c r="M33" s="9" t="inlineStr">
        <is>
          <t>Xào / nấu canh</t>
        </is>
      </c>
      <c r="N33" s="9" t="inlineStr">
        <is>
          <t>Nội địa</t>
        </is>
      </c>
      <c r="O33" s="9" t="inlineStr">
        <is>
          <t>Origin|Standard|Preservation|Weight|Attributes|Seasonality heuristic</t>
        </is>
      </c>
      <c r="P33" s="9" t="inlineStr">
        <is>
          <t>Origin; Season window; Standard/cert; Preservation guidance; Flavor/Texture/Usage</t>
        </is>
      </c>
      <c r="Q33" s="9" t="inlineStr">
        <is>
          <t>Trung bình</t>
        </is>
      </c>
      <c r="R33" s="9" t="inlineStr">
        <is>
          <t>B4</t>
        </is>
      </c>
      <c r="S33" s="9" t="inlineStr">
        <is>
          <t>Rau lá, rau thơm và nhóm thân/mầm; thường có quanh năm nhưng peak và vùng trồng khác nhau.</t>
        </is>
      </c>
      <c r="T33" s="9" t="inlineStr">
        <is>
          <t>Pending</t>
        </is>
      </c>
      <c r="U33" s="9" t="n"/>
      <c r="V33" s="9">
        <f>COUNTIF('Seasonality Evidence'!B:B,A33)</f>
        <v/>
      </c>
      <c r="W33" s="9">
        <f>COUNTIF('Seasonality Evidence'!B:B,A33)</f>
        <v/>
      </c>
      <c r="X33" s="9">
        <f>COUNTIF('Research Evidence'!B:B,A33)</f>
        <v/>
      </c>
      <c r="Y33" s="9" t="n"/>
      <c r="Z33" s="9" t="n"/>
      <c r="AA33" s="9" t="n"/>
      <c r="AB33" s="9" t="n"/>
      <c r="AC33" s="9" t="n"/>
      <c r="AD33" s="9" t="n"/>
      <c r="AE33" s="9" t="n"/>
      <c r="AF33" s="9" t="n"/>
      <c r="AG33" s="9" t="n"/>
      <c r="AH33" s="9" t="n"/>
      <c r="AI33" s="9" t="n"/>
      <c r="AJ33" s="9" t="n"/>
      <c r="AK33" s="9" t="n"/>
    </row>
    <row r="34">
      <c r="A34" s="9" t="n">
        <v>33</v>
      </c>
      <c r="B34" s="9" t="inlineStr">
        <is>
          <t>Rau lá</t>
        </is>
      </c>
      <c r="C34" s="9" t="inlineStr">
        <is>
          <t>Rau spinach baby</t>
        </is>
      </c>
      <c r="D34" s="9" t="inlineStr">
        <is>
          <t>VEG-RSB-033</t>
        </is>
      </c>
      <c r="E34" s="9" t="inlineStr">
        <is>
          <t>Đà Lạt, Việt Nam</t>
        </is>
      </c>
      <c r="F34" s="9" t="inlineStr">
        <is>
          <t>Organic</t>
        </is>
      </c>
      <c r="G34" s="9" t="inlineStr">
        <is>
          <t>Bảo quản ngăn mát, dùng trong 4 ngày.</t>
        </is>
      </c>
      <c r="H34" s="9" t="inlineStr">
        <is>
          <t>200g</t>
        </is>
      </c>
      <c r="I34" s="9" t="n"/>
      <c r="J34" s="9" t="inlineStr">
        <is>
          <t>Siêu thực phẩm, giàu sắt, vitamin... Lá non mềm, dinh dưỡng cao.</t>
        </is>
      </c>
      <c r="K34" s="9" t="inlineStr">
        <is>
          <t>Tự nhiên</t>
        </is>
      </c>
      <c r="L34" s="9" t="inlineStr">
        <is>
          <t>Mềm</t>
        </is>
      </c>
      <c r="M34" s="9" t="inlineStr">
        <is>
          <t>Salad / ăn sống</t>
        </is>
      </c>
      <c r="N34" s="9" t="inlineStr">
        <is>
          <t>Nội địa</t>
        </is>
      </c>
      <c r="O34" s="9" t="inlineStr">
        <is>
          <t>Origin|Standard|Preservation|Weight|Attributes|Seasonality heuristic</t>
        </is>
      </c>
      <c r="P34" s="9" t="inlineStr">
        <is>
          <t>Origin; Season window; Standard/cert; Preservation guidance; Flavor/Texture/Usage</t>
        </is>
      </c>
      <c r="Q34" s="9" t="inlineStr">
        <is>
          <t>Trung bình</t>
        </is>
      </c>
      <c r="R34" s="9" t="inlineStr">
        <is>
          <t>B4</t>
        </is>
      </c>
      <c r="S34" s="9" t="inlineStr">
        <is>
          <t>Rau lá, rau thơm và nhóm thân/mầm; thường có quanh năm nhưng peak và vùng trồng khác nhau.</t>
        </is>
      </c>
      <c r="T34" s="9" t="inlineStr">
        <is>
          <t>Pending</t>
        </is>
      </c>
      <c r="U34" s="9" t="n"/>
      <c r="V34" s="9">
        <f>COUNTIF('Seasonality Evidence'!B:B,A34)</f>
        <v/>
      </c>
      <c r="W34" s="9">
        <f>COUNTIF('Seasonality Evidence'!B:B,A34)</f>
        <v/>
      </c>
      <c r="X34" s="9">
        <f>COUNTIF('Research Evidence'!B:B,A34)</f>
        <v/>
      </c>
      <c r="Y34" s="9" t="n"/>
      <c r="Z34" s="9" t="n"/>
      <c r="AA34" s="9" t="n"/>
      <c r="AB34" s="9" t="n"/>
      <c r="AC34" s="9" t="n"/>
      <c r="AD34" s="9" t="n"/>
      <c r="AE34" s="9" t="n"/>
      <c r="AF34" s="9" t="n"/>
      <c r="AG34" s="9" t="n"/>
      <c r="AH34" s="9" t="n"/>
      <c r="AI34" s="9" t="n"/>
      <c r="AJ34" s="9" t="n"/>
      <c r="AK34" s="9" t="n"/>
    </row>
    <row r="35">
      <c r="A35" s="9" t="n">
        <v>34</v>
      </c>
      <c r="B35" s="9" t="inlineStr">
        <is>
          <t>Rau lá</t>
        </is>
      </c>
      <c r="C35" s="9" t="inlineStr">
        <is>
          <t>Rau húng quế</t>
        </is>
      </c>
      <c r="D35" s="9" t="inlineStr">
        <is>
          <t>VEG-RHQ-034</t>
        </is>
      </c>
      <c r="E35" s="9" t="inlineStr">
        <is>
          <t>Tiền Giang, Việt Nam</t>
        </is>
      </c>
      <c r="F35" s="9" t="inlineStr">
        <is>
          <t>VietGAP</t>
        </is>
      </c>
      <c r="G35" s="9" t="inlineStr">
        <is>
          <t>Để nơi khô thoáng, dùng trong 2 ngày.</t>
        </is>
      </c>
      <c r="H35" s="9" t="inlineStr">
        <is>
          <t>100g</t>
        </is>
      </c>
      <c r="I35" s="9" t="n"/>
      <c r="J35" s="9" t="inlineStr">
        <is>
          <t>Giàu tinh dầu thơm, chất chống oxy hóa... Lá xanh, thơm đặc trưng.</t>
        </is>
      </c>
      <c r="K35" s="9" t="inlineStr">
        <is>
          <t>Tự nhiên</t>
        </is>
      </c>
      <c r="L35" s="9" t="inlineStr">
        <is>
          <t>Tươi</t>
        </is>
      </c>
      <c r="M35" s="9" t="inlineStr">
        <is>
          <t>Salad / ăn sống</t>
        </is>
      </c>
      <c r="N35" s="9" t="inlineStr">
        <is>
          <t>Nội địa</t>
        </is>
      </c>
      <c r="O35" s="9" t="inlineStr">
        <is>
          <t>Origin|Standard|Preservation|Weight|Attributes|Seasonality heuristic</t>
        </is>
      </c>
      <c r="P35" s="9" t="inlineStr">
        <is>
          <t>Origin; Season window; Standard/cert; Preservation guidance; Flavor/Texture/Usage</t>
        </is>
      </c>
      <c r="Q35" s="9" t="inlineStr">
        <is>
          <t>Trung bình</t>
        </is>
      </c>
      <c r="R35" s="9" t="inlineStr">
        <is>
          <t>B4</t>
        </is>
      </c>
      <c r="S35" s="9" t="inlineStr">
        <is>
          <t>Rau lá, rau thơm và nhóm thân/mầm; thường có quanh năm nhưng peak và vùng trồng khác nhau.</t>
        </is>
      </c>
      <c r="T35" s="9" t="inlineStr">
        <is>
          <t>Pending</t>
        </is>
      </c>
      <c r="U35" s="9" t="n"/>
      <c r="V35" s="9">
        <f>COUNTIF('Seasonality Evidence'!B:B,A35)</f>
        <v/>
      </c>
      <c r="W35" s="9">
        <f>COUNTIF('Seasonality Evidence'!B:B,A35)</f>
        <v/>
      </c>
      <c r="X35" s="9">
        <f>COUNTIF('Research Evidence'!B:B,A35)</f>
        <v/>
      </c>
      <c r="Y35" s="9" t="n"/>
      <c r="Z35" s="9" t="n"/>
      <c r="AA35" s="9" t="n"/>
      <c r="AB35" s="9" t="n"/>
      <c r="AC35" s="9" t="n"/>
      <c r="AD35" s="9" t="n"/>
      <c r="AE35" s="9" t="n"/>
      <c r="AF35" s="9" t="n"/>
      <c r="AG35" s="9" t="n"/>
      <c r="AH35" s="9" t="n"/>
      <c r="AI35" s="9" t="n"/>
      <c r="AJ35" s="9" t="n"/>
      <c r="AK35" s="9" t="n"/>
    </row>
    <row r="36">
      <c r="A36" s="9" t="n">
        <v>35</v>
      </c>
      <c r="B36" s="9" t="inlineStr">
        <is>
          <t>Rau ăn hoa / thân / mầm</t>
        </is>
      </c>
      <c r="C36" s="9" t="inlineStr">
        <is>
          <t>Bông atiso</t>
        </is>
      </c>
      <c r="D36" s="9" t="inlineStr">
        <is>
          <t>VEG-BAT-035</t>
        </is>
      </c>
      <c r="E36" s="9" t="inlineStr">
        <is>
          <t>Lâm Đồng, Việt Nam</t>
        </is>
      </c>
      <c r="F36" s="9" t="inlineStr">
        <is>
          <t>GlobalGAP</t>
        </is>
      </c>
      <c r="G36" s="9" t="inlineStr">
        <is>
          <t>Ngăn mát 3-5°C, dùng trong 5 ngày.</t>
        </is>
      </c>
      <c r="H36" s="9" t="inlineStr">
        <is>
          <t>500g</t>
        </is>
      </c>
      <c r="I36" s="9" t="n"/>
      <c r="J36" s="9" t="inlineStr">
        <is>
          <t>Giàu chất chống oxy hóa, vitamin C... Bông xanh tươi, vị đắng nhẹ.</t>
        </is>
      </c>
      <c r="K36" s="9" t="inlineStr">
        <is>
          <t>Tự nhiên</t>
        </is>
      </c>
      <c r="L36" s="9" t="inlineStr">
        <is>
          <t>Tươi</t>
        </is>
      </c>
      <c r="M36" s="9" t="inlineStr">
        <is>
          <t>Nấu canh</t>
        </is>
      </c>
      <c r="N36" s="9" t="inlineStr">
        <is>
          <t>Nội địa</t>
        </is>
      </c>
      <c r="O36" s="9" t="inlineStr">
        <is>
          <t>Origin|Standard|Preservation|Weight|Attributes|Seasonality heuristic</t>
        </is>
      </c>
      <c r="P36" s="9" t="inlineStr">
        <is>
          <t>Origin; Season window; Standard/cert; Preservation guidance; Flavor/Texture/Usage</t>
        </is>
      </c>
      <c r="Q36" s="9" t="inlineStr">
        <is>
          <t>Trung bình</t>
        </is>
      </c>
      <c r="R36" s="9" t="inlineStr">
        <is>
          <t>B4</t>
        </is>
      </c>
      <c r="S36" s="9" t="inlineStr">
        <is>
          <t>Rau lá, rau thơm và nhóm thân/mầm; thường có quanh năm nhưng peak và vùng trồng khác nhau.</t>
        </is>
      </c>
      <c r="T36" s="9" t="inlineStr">
        <is>
          <t>Pending</t>
        </is>
      </c>
      <c r="U36" s="9" t="n"/>
      <c r="V36" s="9">
        <f>COUNTIF('Seasonality Evidence'!B:B,A36)</f>
        <v/>
      </c>
      <c r="W36" s="9">
        <f>COUNTIF('Seasonality Evidence'!B:B,A36)</f>
        <v/>
      </c>
      <c r="X36" s="9">
        <f>COUNTIF('Research Evidence'!B:B,A36)</f>
        <v/>
      </c>
      <c r="Y36" s="9" t="n"/>
      <c r="Z36" s="9" t="n"/>
      <c r="AA36" s="9" t="n"/>
      <c r="AB36" s="9" t="n"/>
      <c r="AC36" s="9" t="n"/>
      <c r="AD36" s="9" t="n"/>
      <c r="AE36" s="9" t="n"/>
      <c r="AF36" s="9" t="n"/>
      <c r="AG36" s="9" t="n"/>
      <c r="AH36" s="9" t="n"/>
      <c r="AI36" s="9" t="n"/>
      <c r="AJ36" s="9" t="n"/>
      <c r="AK36" s="9" t="n"/>
    </row>
    <row r="37">
      <c r="A37" s="9" t="n">
        <v>36</v>
      </c>
      <c r="B37" s="9" t="inlineStr">
        <is>
          <t>Rau ăn hoa / thân / mầm</t>
        </is>
      </c>
      <c r="C37" s="9" t="inlineStr">
        <is>
          <t>Măng tre tươi</t>
        </is>
      </c>
      <c r="D37" s="9" t="inlineStr">
        <is>
          <t>VEG-MTT-036</t>
        </is>
      </c>
      <c r="E37" s="9" t="inlineStr">
        <is>
          <t>Nghệ An, Việt Nam</t>
        </is>
      </c>
      <c r="F37" s="9" t="inlineStr">
        <is>
          <t>OCOP 4 sao</t>
        </is>
      </c>
      <c r="G37" s="9" t="inlineStr">
        <is>
          <t>Ngâm nước, đặt ngăn mát.</t>
        </is>
      </c>
      <c r="H37" s="9" t="inlineStr">
        <is>
          <t>600g</t>
        </is>
      </c>
      <c r="I37" s="9" t="n"/>
      <c r="J37" s="9" t="inlineStr">
        <is>
          <t>Giàu chất xơ, protein thực vật... Măng non giòn, ngọt thanh.</t>
        </is>
      </c>
      <c r="K37" s="9" t="inlineStr">
        <is>
          <t>Ngọt thanh</t>
        </is>
      </c>
      <c r="L37" s="9" t="inlineStr">
        <is>
          <t>Giòn</t>
        </is>
      </c>
      <c r="M37" s="9" t="inlineStr">
        <is>
          <t>Xào / nấu canh</t>
        </is>
      </c>
      <c r="N37" s="9" t="inlineStr">
        <is>
          <t>Nội địa</t>
        </is>
      </c>
      <c r="O37" s="9" t="inlineStr">
        <is>
          <t>Origin|Standard|Preservation|Weight|Attributes|Seasonality heuristic</t>
        </is>
      </c>
      <c r="P37" s="9" t="inlineStr">
        <is>
          <t>Origin; Season window; Standard/cert; Preservation guidance; Flavor/Texture/Usage</t>
        </is>
      </c>
      <c r="Q37" s="9" t="inlineStr">
        <is>
          <t>Trung bình</t>
        </is>
      </c>
      <c r="R37" s="9" t="inlineStr">
        <is>
          <t>B4</t>
        </is>
      </c>
      <c r="S37" s="9" t="inlineStr">
        <is>
          <t>Rau lá, rau thơm và nhóm thân/mầm; thường có quanh năm nhưng peak và vùng trồng khác nhau.</t>
        </is>
      </c>
      <c r="T37" s="9" t="inlineStr">
        <is>
          <t>Pending</t>
        </is>
      </c>
      <c r="U37" s="9" t="n"/>
      <c r="V37" s="9">
        <f>COUNTIF('Seasonality Evidence'!B:B,A37)</f>
        <v/>
      </c>
      <c r="W37" s="9">
        <f>COUNTIF('Seasonality Evidence'!B:B,A37)</f>
        <v/>
      </c>
      <c r="X37" s="9">
        <f>COUNTIF('Research Evidence'!B:B,A37)</f>
        <v/>
      </c>
      <c r="Y37" s="9" t="n"/>
      <c r="Z37" s="9" t="n"/>
      <c r="AA37" s="9" t="n"/>
      <c r="AB37" s="9" t="n"/>
      <c r="AC37" s="9" t="n"/>
      <c r="AD37" s="9" t="n"/>
      <c r="AE37" s="9" t="n"/>
      <c r="AF37" s="9" t="n"/>
      <c r="AG37" s="9" t="n"/>
      <c r="AH37" s="9" t="n"/>
      <c r="AI37" s="9" t="n"/>
      <c r="AJ37" s="9" t="n"/>
      <c r="AK37" s="9" t="n"/>
    </row>
    <row r="38">
      <c r="A38" s="9" t="n">
        <v>37</v>
      </c>
      <c r="B38" s="9" t="inlineStr">
        <is>
          <t>Rau ăn hoa / thân / mầm</t>
        </is>
      </c>
      <c r="C38" s="9" t="inlineStr">
        <is>
          <t>Bắp cải tím</t>
        </is>
      </c>
      <c r="D38" s="9" t="inlineStr">
        <is>
          <t>VEG-BCT-037</t>
        </is>
      </c>
      <c r="E38" s="9" t="inlineStr">
        <is>
          <t>Đà Lạt, Việt Nam</t>
        </is>
      </c>
      <c r="F38" s="9" t="inlineStr">
        <is>
          <t>VietGAP</t>
        </is>
      </c>
      <c r="G38" s="9" t="inlineStr">
        <is>
          <t>Bảo quản ngăn mát 1-2 tuần.</t>
        </is>
      </c>
      <c r="H38" s="9" t="inlineStr">
        <is>
          <t>800g</t>
        </is>
      </c>
      <c r="I38" s="9" t="n">
        <v>7</v>
      </c>
      <c r="J38" s="9" t="inlineStr">
        <is>
          <t>Giàu anthocyanin, vitamin C, K... Màu tím đẹp, giòn ngọt.</t>
        </is>
      </c>
      <c r="K38" s="9" t="inlineStr">
        <is>
          <t>Ngọt</t>
        </is>
      </c>
      <c r="L38" s="9" t="inlineStr">
        <is>
          <t>Giòn</t>
        </is>
      </c>
      <c r="M38" s="9" t="inlineStr">
        <is>
          <t>Salad / ăn sống</t>
        </is>
      </c>
      <c r="N38" s="9" t="inlineStr">
        <is>
          <t>Nội địa</t>
        </is>
      </c>
      <c r="O38" s="9" t="inlineStr">
        <is>
          <t>Origin|Standard|Preservation|Weight|Attributes|Seasonality heuristic</t>
        </is>
      </c>
      <c r="P38" s="9" t="inlineStr">
        <is>
          <t>Origin; Season window; Standard/cert; Preservation guidance; Flavor/Texture/Usage</t>
        </is>
      </c>
      <c r="Q38" s="9" t="inlineStr">
        <is>
          <t>Trung bình</t>
        </is>
      </c>
      <c r="R38" s="9" t="inlineStr">
        <is>
          <t>B4</t>
        </is>
      </c>
      <c r="S38" s="9" t="inlineStr">
        <is>
          <t>Rau lá, rau thơm và nhóm thân/mầm; thường có quanh năm nhưng peak và vùng trồng khác nhau.</t>
        </is>
      </c>
      <c r="T38" s="9" t="inlineStr">
        <is>
          <t>Pending</t>
        </is>
      </c>
      <c r="U38" s="9" t="n"/>
      <c r="V38" s="9">
        <f>COUNTIF('Seasonality Evidence'!B:B,A38)</f>
        <v/>
      </c>
      <c r="W38" s="9">
        <f>COUNTIF('Seasonality Evidence'!B:B,A38)</f>
        <v/>
      </c>
      <c r="X38" s="9">
        <f>COUNTIF('Research Evidence'!B:B,A38)</f>
        <v/>
      </c>
      <c r="Y38" s="9" t="n"/>
      <c r="Z38" s="9" t="n"/>
      <c r="AA38" s="9" t="n"/>
      <c r="AB38" s="9" t="n"/>
      <c r="AC38" s="9" t="n"/>
      <c r="AD38" s="9" t="n"/>
      <c r="AE38" s="9" t="n"/>
      <c r="AF38" s="9" t="n"/>
      <c r="AG38" s="9" t="n"/>
      <c r="AH38" s="9" t="n"/>
      <c r="AI38" s="9" t="n"/>
      <c r="AJ38" s="9" t="n"/>
      <c r="AK38" s="9" t="n"/>
    </row>
    <row r="39">
      <c r="A39" s="9" t="n">
        <v>38</v>
      </c>
      <c r="B39" s="9" t="inlineStr">
        <is>
          <t>Rau ăn hoa / thân / mầm</t>
        </is>
      </c>
      <c r="C39" s="9" t="inlineStr">
        <is>
          <t>Cải Brussels sprouts</t>
        </is>
      </c>
      <c r="D39" s="9" t="inlineStr">
        <is>
          <t>VEG-CBS-038</t>
        </is>
      </c>
      <c r="E39" s="9" t="inlineStr">
        <is>
          <t>Lâm Đồng, Việt Nam</t>
        </is>
      </c>
      <c r="F39" s="9" t="inlineStr">
        <is>
          <t>GlobalGAP</t>
        </is>
      </c>
      <c r="G39" s="9" t="inlineStr">
        <is>
          <t>Ngăn mát, dùng trong 1 tuần.</t>
        </is>
      </c>
      <c r="H39" s="9" t="inlineStr">
        <is>
          <t>350g</t>
        </is>
      </c>
      <c r="I39" s="9" t="n">
        <v>7</v>
      </c>
      <c r="J39" s="9" t="inlineStr">
        <is>
          <t>Giàu vitamin C, K, chất xơ... Búp nhỏ xanh, vị đậm đà.</t>
        </is>
      </c>
      <c r="K39" s="9" t="inlineStr">
        <is>
          <t>Tự nhiên</t>
        </is>
      </c>
      <c r="L39" s="9" t="inlineStr">
        <is>
          <t>Tươi</t>
        </is>
      </c>
      <c r="M39" s="9" t="inlineStr">
        <is>
          <t>Xào</t>
        </is>
      </c>
      <c r="N39" s="9" t="inlineStr">
        <is>
          <t>Nội địa</t>
        </is>
      </c>
      <c r="O39" s="9" t="inlineStr">
        <is>
          <t>Origin|Standard|Preservation|Weight|Attributes|Seasonality heuristic</t>
        </is>
      </c>
      <c r="P39" s="9" t="inlineStr">
        <is>
          <t>Origin; Season window; Standard/cert; Preservation guidance; Flavor/Texture/Usage</t>
        </is>
      </c>
      <c r="Q39" s="9" t="inlineStr">
        <is>
          <t>Trung bình</t>
        </is>
      </c>
      <c r="R39" s="9" t="inlineStr">
        <is>
          <t>B4</t>
        </is>
      </c>
      <c r="S39" s="9" t="inlineStr">
        <is>
          <t>Rau lá, rau thơm và nhóm thân/mầm; thường có quanh năm nhưng peak và vùng trồng khác nhau.</t>
        </is>
      </c>
      <c r="T39" s="9" t="inlineStr">
        <is>
          <t>Pending</t>
        </is>
      </c>
      <c r="U39" s="9" t="n"/>
      <c r="V39" s="9">
        <f>COUNTIF('Seasonality Evidence'!B:B,A39)</f>
        <v/>
      </c>
      <c r="W39" s="9">
        <f>COUNTIF('Seasonality Evidence'!B:B,A39)</f>
        <v/>
      </c>
      <c r="X39" s="9">
        <f>COUNTIF('Research Evidence'!B:B,A39)</f>
        <v/>
      </c>
      <c r="Y39" s="9" t="n"/>
      <c r="Z39" s="9" t="n"/>
      <c r="AA39" s="9" t="n"/>
      <c r="AB39" s="9" t="n"/>
      <c r="AC39" s="9" t="n"/>
      <c r="AD39" s="9" t="n"/>
      <c r="AE39" s="9" t="n"/>
      <c r="AF39" s="9" t="n"/>
      <c r="AG39" s="9" t="n"/>
      <c r="AH39" s="9" t="n"/>
      <c r="AI39" s="9" t="n"/>
      <c r="AJ39" s="9" t="n"/>
      <c r="AK39" s="9" t="n"/>
    </row>
    <row r="40">
      <c r="A40" s="9" t="n">
        <v>39</v>
      </c>
      <c r="B40" s="9" t="inlineStr">
        <is>
          <t>Rau ăn hoa / thân / mầm</t>
        </is>
      </c>
      <c r="C40" s="9" t="inlineStr">
        <is>
          <t>Rau mầm alfalfa</t>
        </is>
      </c>
      <c r="D40" s="9" t="inlineStr">
        <is>
          <t>VEG-RMA-039</t>
        </is>
      </c>
      <c r="E40" s="9" t="inlineStr">
        <is>
          <t>TP.HCM, Việt Nam</t>
        </is>
      </c>
      <c r="F40" s="9" t="inlineStr">
        <is>
          <t>VietGAP</t>
        </is>
      </c>
      <c r="G40" s="9" t="inlineStr">
        <is>
          <t>Dùng ngay trong ngày.</t>
        </is>
      </c>
      <c r="H40" s="9" t="inlineStr">
        <is>
          <t>150g</t>
        </is>
      </c>
      <c r="I40" s="9" t="n"/>
      <c r="J40" s="9" t="inlineStr">
        <is>
          <t>Giàu protein, vitamin K, enzyme... Mầm tươi giòn, dễ tiêu hóa.</t>
        </is>
      </c>
      <c r="K40" s="9" t="inlineStr">
        <is>
          <t>Tự nhiên</t>
        </is>
      </c>
      <c r="L40" s="9" t="inlineStr">
        <is>
          <t>Giòn</t>
        </is>
      </c>
      <c r="M40" s="9" t="inlineStr">
        <is>
          <t>Salad / ăn sống</t>
        </is>
      </c>
      <c r="N40" s="9" t="inlineStr">
        <is>
          <t>Nội địa</t>
        </is>
      </c>
      <c r="O40" s="9" t="inlineStr">
        <is>
          <t>Origin|Standard|Preservation|Weight|Attributes|Seasonality heuristic</t>
        </is>
      </c>
      <c r="P40" s="9" t="inlineStr">
        <is>
          <t>Origin; Season window; Standard/cert; Preservation guidance; Flavor/Texture/Usage</t>
        </is>
      </c>
      <c r="Q40" s="9" t="inlineStr">
        <is>
          <t>Trung bình</t>
        </is>
      </c>
      <c r="R40" s="9" t="inlineStr">
        <is>
          <t>B4</t>
        </is>
      </c>
      <c r="S40" s="9" t="inlineStr">
        <is>
          <t>Rau lá, rau thơm và nhóm thân/mầm; thường có quanh năm nhưng peak và vùng trồng khác nhau.</t>
        </is>
      </c>
      <c r="T40" s="9" t="inlineStr">
        <is>
          <t>Pending</t>
        </is>
      </c>
      <c r="U40" s="9" t="n"/>
      <c r="V40" s="9">
        <f>COUNTIF('Seasonality Evidence'!B:B,A40)</f>
        <v/>
      </c>
      <c r="W40" s="9">
        <f>COUNTIF('Seasonality Evidence'!B:B,A40)</f>
        <v/>
      </c>
      <c r="X40" s="9">
        <f>COUNTIF('Research Evidence'!B:B,A40)</f>
        <v/>
      </c>
      <c r="Y40" s="9" t="n"/>
      <c r="Z40" s="9" t="n"/>
      <c r="AA40" s="9" t="n"/>
      <c r="AB40" s="9" t="n"/>
      <c r="AC40" s="9" t="n"/>
      <c r="AD40" s="9" t="n"/>
      <c r="AE40" s="9" t="n"/>
      <c r="AF40" s="9" t="n"/>
      <c r="AG40" s="9" t="n"/>
      <c r="AH40" s="9" t="n"/>
      <c r="AI40" s="9" t="n"/>
      <c r="AJ40" s="9" t="n"/>
      <c r="AK40" s="9" t="n"/>
    </row>
    <row r="41">
      <c r="A41" s="9" t="n">
        <v>40</v>
      </c>
      <c r="B41" s="9" t="inlineStr">
        <is>
          <t>Rau ăn quả</t>
        </is>
      </c>
      <c r="C41" s="9" t="inlineStr">
        <is>
          <t>Ớt hiểm</t>
        </is>
      </c>
      <c r="D41" s="9" t="inlineStr">
        <is>
          <t>VEG-OH-040</t>
        </is>
      </c>
      <c r="E41" s="9" t="inlineStr">
        <is>
          <t>Bình Dương, Việt Nam</t>
        </is>
      </c>
      <c r="F41" s="9" t="inlineStr">
        <is>
          <t>VietGAP</t>
        </is>
      </c>
      <c r="G41" s="9" t="inlineStr">
        <is>
          <t>Nơi khô mát 5-7 ngày.</t>
        </is>
      </c>
      <c r="H41" s="9" t="inlineStr">
        <is>
          <t>250g</t>
        </is>
      </c>
      <c r="I41" s="9" t="n"/>
      <c r="J41" s="9" t="inlineStr">
        <is>
          <t>Giàu vitamin C, capsaicin... Quả nhỏ xanh/đỏ, cay nồng.</t>
        </is>
      </c>
      <c r="K41" s="9" t="inlineStr">
        <is>
          <t>Cay</t>
        </is>
      </c>
      <c r="L41" s="9" t="inlineStr">
        <is>
          <t>Tươi</t>
        </is>
      </c>
      <c r="M41" s="9" t="inlineStr">
        <is>
          <t>Đa dụng</t>
        </is>
      </c>
      <c r="N41" s="9" t="inlineStr">
        <is>
          <t>Nội địa</t>
        </is>
      </c>
      <c r="O41" s="9" t="inlineStr">
        <is>
          <t>Origin|Standard|Preservation|Weight|Attributes|Seasonality heuristic</t>
        </is>
      </c>
      <c r="P41" s="9" t="inlineStr">
        <is>
          <t>Origin; Season window; Standard/cert; Preservation guidance; Flavor/Texture/Usage</t>
        </is>
      </c>
      <c r="Q41" s="9" t="inlineStr">
        <is>
          <t>Trung bình</t>
        </is>
      </c>
      <c r="R41" s="9" t="inlineStr">
        <is>
          <t>B5</t>
        </is>
      </c>
      <c r="S41" s="9" t="inlineStr">
        <is>
          <t>Rau ăn quả, củ/rễ, nấm và nhóm còn lại; kiểm tra seasonality/cultivation theo vùng hoặc mô hình trồng.</t>
        </is>
      </c>
      <c r="T41" s="9" t="inlineStr">
        <is>
          <t>Pending</t>
        </is>
      </c>
      <c r="U41" s="9" t="n"/>
      <c r="V41" s="9">
        <f>COUNTIF('Seasonality Evidence'!B:B,A41)</f>
        <v/>
      </c>
      <c r="W41" s="9">
        <f>COUNTIF('Seasonality Evidence'!B:B,A41)</f>
        <v/>
      </c>
      <c r="X41" s="9">
        <f>COUNTIF('Research Evidence'!B:B,A41)</f>
        <v/>
      </c>
      <c r="Y41" s="9" t="n"/>
      <c r="Z41" s="9" t="n"/>
      <c r="AA41" s="9" t="n"/>
      <c r="AB41" s="9" t="n"/>
      <c r="AC41" s="9" t="n"/>
      <c r="AD41" s="9" t="n"/>
      <c r="AE41" s="9" t="n"/>
      <c r="AF41" s="9" t="n"/>
      <c r="AG41" s="9" t="n"/>
      <c r="AH41" s="9" t="n"/>
      <c r="AI41" s="9" t="n"/>
      <c r="AJ41" s="9" t="n"/>
      <c r="AK41" s="9" t="n"/>
    </row>
    <row r="42">
      <c r="A42" s="9" t="n">
        <v>41</v>
      </c>
      <c r="B42" s="9" t="inlineStr">
        <is>
          <t>Rau ăn quả</t>
        </is>
      </c>
      <c r="C42" s="9" t="inlineStr">
        <is>
          <t>Bầu xanh</t>
        </is>
      </c>
      <c r="D42" s="9" t="inlineStr">
        <is>
          <t>VEG-BX-041</t>
        </is>
      </c>
      <c r="E42" s="9" t="inlineStr">
        <is>
          <t>Long An, Việt Nam</t>
        </is>
      </c>
      <c r="F42" s="9" t="inlineStr">
        <is>
          <t>VietGAP</t>
        </is>
      </c>
      <c r="G42" s="9" t="inlineStr">
        <is>
          <t>Nơi khô thoáng 5-7 ngày.</t>
        </is>
      </c>
      <c r="H42" s="9" t="inlineStr">
        <is>
          <t>1.5kg</t>
        </is>
      </c>
      <c r="I42" s="9" t="n">
        <v>7</v>
      </c>
      <c r="J42" s="9" t="inlineStr">
        <is>
          <t>Giàu nước, vitamin B, C... Quả xanh tươi, vị ngọt mát.</t>
        </is>
      </c>
      <c r="K42" s="9" t="inlineStr">
        <is>
          <t>Ngọt</t>
        </is>
      </c>
      <c r="L42" s="9" t="inlineStr">
        <is>
          <t>Tươi</t>
        </is>
      </c>
      <c r="M42" s="9" t="inlineStr">
        <is>
          <t>Xào / nấu canh</t>
        </is>
      </c>
      <c r="N42" s="9" t="inlineStr">
        <is>
          <t>Nội địa</t>
        </is>
      </c>
      <c r="O42" s="9" t="inlineStr">
        <is>
          <t>Origin|Standard|Preservation|Weight|Attributes|Seasonality heuristic</t>
        </is>
      </c>
      <c r="P42" s="9" t="inlineStr">
        <is>
          <t>Origin; Season window; Standard/cert; Preservation guidance; Flavor/Texture/Usage</t>
        </is>
      </c>
      <c r="Q42" s="9" t="inlineStr">
        <is>
          <t>Trung bình</t>
        </is>
      </c>
      <c r="R42" s="9" t="inlineStr">
        <is>
          <t>B5</t>
        </is>
      </c>
      <c r="S42" s="9" t="inlineStr">
        <is>
          <t>Rau ăn quả, củ/rễ, nấm và nhóm còn lại; kiểm tra seasonality/cultivation theo vùng hoặc mô hình trồng.</t>
        </is>
      </c>
      <c r="T42" s="9" t="inlineStr">
        <is>
          <t>Pending</t>
        </is>
      </c>
      <c r="U42" s="9" t="n"/>
      <c r="V42" s="9">
        <f>COUNTIF('Seasonality Evidence'!B:B,A42)</f>
        <v/>
      </c>
      <c r="W42" s="9">
        <f>COUNTIF('Seasonality Evidence'!B:B,A42)</f>
        <v/>
      </c>
      <c r="X42" s="9">
        <f>COUNTIF('Research Evidence'!B:B,A42)</f>
        <v/>
      </c>
      <c r="Y42" s="9" t="n"/>
      <c r="Z42" s="9" t="n"/>
      <c r="AA42" s="9" t="n"/>
      <c r="AB42" s="9" t="n"/>
      <c r="AC42" s="9" t="n"/>
      <c r="AD42" s="9" t="n"/>
      <c r="AE42" s="9" t="n"/>
      <c r="AF42" s="9" t="n"/>
      <c r="AG42" s="9" t="n"/>
      <c r="AH42" s="9" t="n"/>
      <c r="AI42" s="9" t="n"/>
      <c r="AJ42" s="9" t="n"/>
      <c r="AK42" s="9" t="n"/>
    </row>
    <row r="43">
      <c r="A43" s="9" t="n">
        <v>42</v>
      </c>
      <c r="B43" s="9" t="inlineStr">
        <is>
          <t>Rau ăn quả</t>
        </is>
      </c>
      <c r="C43" s="9" t="inlineStr">
        <is>
          <t>Mướp hương</t>
        </is>
      </c>
      <c r="D43" s="9" t="inlineStr">
        <is>
          <t>VEG-MH-042</t>
        </is>
      </c>
      <c r="E43" s="9" t="inlineStr">
        <is>
          <t>Tiền Giang, Việt Nam</t>
        </is>
      </c>
      <c r="F43" s="9" t="inlineStr">
        <is>
          <t>VietGAP</t>
        </is>
      </c>
      <c r="G43" s="9" t="inlineStr">
        <is>
          <t>Nơi khô mát 4-5 ngày.</t>
        </is>
      </c>
      <c r="H43" s="9" t="inlineStr">
        <is>
          <t>600g</t>
        </is>
      </c>
      <c r="I43" s="9" t="n"/>
      <c r="J43" s="9" t="inlineStr">
        <is>
          <t>Giàu vitamin A, C, chất xơ... Quả xanh dài, giòn ngọt.</t>
        </is>
      </c>
      <c r="K43" s="9" t="inlineStr">
        <is>
          <t>Ngọt</t>
        </is>
      </c>
      <c r="L43" s="9" t="inlineStr">
        <is>
          <t>Giòn</t>
        </is>
      </c>
      <c r="M43" s="9" t="inlineStr">
        <is>
          <t>Xào / nấu canh</t>
        </is>
      </c>
      <c r="N43" s="9" t="inlineStr">
        <is>
          <t>Nội địa</t>
        </is>
      </c>
      <c r="O43" s="9" t="inlineStr">
        <is>
          <t>Origin|Standard|Preservation|Weight|Attributes|Seasonality heuristic</t>
        </is>
      </c>
      <c r="P43" s="9" t="inlineStr">
        <is>
          <t>Origin; Season window; Standard/cert; Preservation guidance; Flavor/Texture/Usage</t>
        </is>
      </c>
      <c r="Q43" s="9" t="inlineStr">
        <is>
          <t>Trung bình</t>
        </is>
      </c>
      <c r="R43" s="9" t="inlineStr">
        <is>
          <t>B5</t>
        </is>
      </c>
      <c r="S43" s="9" t="inlineStr">
        <is>
          <t>Rau ăn quả, củ/rễ, nấm và nhóm còn lại; kiểm tra seasonality/cultivation theo vùng hoặc mô hình trồng.</t>
        </is>
      </c>
      <c r="T43" s="9" t="inlineStr">
        <is>
          <t>Pending</t>
        </is>
      </c>
      <c r="U43" s="9" t="n"/>
      <c r="V43" s="9">
        <f>COUNTIF('Seasonality Evidence'!B:B,A43)</f>
        <v/>
      </c>
      <c r="W43" s="9">
        <f>COUNTIF('Seasonality Evidence'!B:B,A43)</f>
        <v/>
      </c>
      <c r="X43" s="9">
        <f>COUNTIF('Research Evidence'!B:B,A43)</f>
        <v/>
      </c>
      <c r="Y43" s="9" t="n"/>
      <c r="Z43" s="9" t="n"/>
      <c r="AA43" s="9" t="n"/>
      <c r="AB43" s="9" t="n"/>
      <c r="AC43" s="9" t="n"/>
      <c r="AD43" s="9" t="n"/>
      <c r="AE43" s="9" t="n"/>
      <c r="AF43" s="9" t="n"/>
      <c r="AG43" s="9" t="n"/>
      <c r="AH43" s="9" t="n"/>
      <c r="AI43" s="9" t="n"/>
      <c r="AJ43" s="9" t="n"/>
      <c r="AK43" s="9" t="n"/>
    </row>
    <row r="44">
      <c r="A44" s="9" t="n">
        <v>43</v>
      </c>
      <c r="B44" s="9" t="inlineStr">
        <is>
          <t>Rau ăn quả</t>
        </is>
      </c>
      <c r="C44" s="9" t="inlineStr">
        <is>
          <t>Dưa chuột baby</t>
        </is>
      </c>
      <c r="D44" s="9" t="inlineStr">
        <is>
          <t>VEG-DCB-043</t>
        </is>
      </c>
      <c r="E44" s="9" t="inlineStr">
        <is>
          <t>Lâm Đồng, Việt Nam</t>
        </is>
      </c>
      <c r="F44" s="9" t="inlineStr">
        <is>
          <t>GlobalGAP</t>
        </is>
      </c>
      <c r="G44" s="9" t="inlineStr">
        <is>
          <t>Ngăn mát 3-4 ngày.</t>
        </is>
      </c>
      <c r="H44" s="9" t="inlineStr">
        <is>
          <t>300g</t>
        </is>
      </c>
      <c r="I44" s="9" t="n"/>
      <c r="J44" s="9" t="inlineStr">
        <is>
          <t>Giàu nước, vitamin K... Quả nhỏ giòn, ngọt thanh.</t>
        </is>
      </c>
      <c r="K44" s="9" t="inlineStr">
        <is>
          <t>Ngọt thanh</t>
        </is>
      </c>
      <c r="L44" s="9" t="inlineStr">
        <is>
          <t>Giòn</t>
        </is>
      </c>
      <c r="M44" s="9" t="inlineStr">
        <is>
          <t>Salad / ăn sống</t>
        </is>
      </c>
      <c r="N44" s="9" t="inlineStr">
        <is>
          <t>Nội địa</t>
        </is>
      </c>
      <c r="O44" s="9" t="inlineStr">
        <is>
          <t>Origin|Standard|Preservation|Weight|Attributes|Seasonality heuristic</t>
        </is>
      </c>
      <c r="P44" s="9" t="inlineStr">
        <is>
          <t>Origin; Season window; Standard/cert; Preservation guidance; Flavor/Texture/Usage</t>
        </is>
      </c>
      <c r="Q44" s="9" t="inlineStr">
        <is>
          <t>Trung bình</t>
        </is>
      </c>
      <c r="R44" s="9" t="inlineStr">
        <is>
          <t>B5</t>
        </is>
      </c>
      <c r="S44" s="9" t="inlineStr">
        <is>
          <t>Rau ăn quả, củ/rễ, nấm và nhóm còn lại; kiểm tra seasonality/cultivation theo vùng hoặc mô hình trồng.</t>
        </is>
      </c>
      <c r="T44" s="9" t="inlineStr">
        <is>
          <t>Pending</t>
        </is>
      </c>
      <c r="U44" s="9" t="n"/>
      <c r="V44" s="9">
        <f>COUNTIF('Seasonality Evidence'!B:B,A44)</f>
        <v/>
      </c>
      <c r="W44" s="9">
        <f>COUNTIF('Seasonality Evidence'!B:B,A44)</f>
        <v/>
      </c>
      <c r="X44" s="9">
        <f>COUNTIF('Research Evidence'!B:B,A44)</f>
        <v/>
      </c>
      <c r="Y44" s="9" t="n"/>
      <c r="Z44" s="9" t="n"/>
      <c r="AA44" s="9" t="n"/>
      <c r="AB44" s="9" t="n"/>
      <c r="AC44" s="9" t="n"/>
      <c r="AD44" s="9" t="n"/>
      <c r="AE44" s="9" t="n"/>
      <c r="AF44" s="9" t="n"/>
      <c r="AG44" s="9" t="n"/>
      <c r="AH44" s="9" t="n"/>
      <c r="AI44" s="9" t="n"/>
      <c r="AJ44" s="9" t="n"/>
      <c r="AK44" s="9" t="n"/>
    </row>
    <row r="45">
      <c r="A45" s="9" t="n">
        <v>44</v>
      </c>
      <c r="B45" s="9" t="inlineStr">
        <is>
          <t>Rau ăn quả</t>
        </is>
      </c>
      <c r="C45" s="9" t="inlineStr">
        <is>
          <t>Đậu bắp</t>
        </is>
      </c>
      <c r="D45" s="9" t="inlineStr">
        <is>
          <t>VEG-DB-044</t>
        </is>
      </c>
      <c r="E45" s="9" t="inlineStr">
        <is>
          <t>Đà Lạt, Việt Nam</t>
        </is>
      </c>
      <c r="F45" s="9" t="inlineStr">
        <is>
          <t>VietGAP</t>
        </is>
      </c>
      <c r="G45" s="9" t="inlineStr">
        <is>
          <t>Ngăn mát 4-5 ngày.</t>
        </is>
      </c>
      <c r="H45" s="9" t="inlineStr">
        <is>
          <t>400g</t>
        </is>
      </c>
      <c r="I45" s="9" t="n"/>
      <c r="J45" s="9" t="inlineStr">
        <is>
          <t>Giàu chất xơ, folate... Quả xanh giòn, vị ngọt nhẹ.</t>
        </is>
      </c>
      <c r="K45" s="9" t="inlineStr">
        <is>
          <t>Ngọt nhẹ</t>
        </is>
      </c>
      <c r="L45" s="9" t="inlineStr">
        <is>
          <t>Giòn</t>
        </is>
      </c>
      <c r="M45" s="9" t="inlineStr">
        <is>
          <t>Xào / nấu canh</t>
        </is>
      </c>
      <c r="N45" s="9" t="inlineStr">
        <is>
          <t>Nội địa</t>
        </is>
      </c>
      <c r="O45" s="9" t="inlineStr">
        <is>
          <t>Origin|Standard|Preservation|Weight|Attributes|Seasonality heuristic</t>
        </is>
      </c>
      <c r="P45" s="9" t="inlineStr">
        <is>
          <t>Origin; Season window; Standard/cert; Preservation guidance; Flavor/Texture/Usage</t>
        </is>
      </c>
      <c r="Q45" s="9" t="inlineStr">
        <is>
          <t>Trung bình</t>
        </is>
      </c>
      <c r="R45" s="9" t="inlineStr">
        <is>
          <t>B5</t>
        </is>
      </c>
      <c r="S45" s="9" t="inlineStr">
        <is>
          <t>Rau ăn quả, củ/rễ, nấm và nhóm còn lại; kiểm tra seasonality/cultivation theo vùng hoặc mô hình trồng.</t>
        </is>
      </c>
      <c r="T45" s="9" t="inlineStr">
        <is>
          <t>Pending</t>
        </is>
      </c>
      <c r="U45" s="9" t="n"/>
      <c r="V45" s="9">
        <f>COUNTIF('Seasonality Evidence'!B:B,A45)</f>
        <v/>
      </c>
      <c r="W45" s="9">
        <f>COUNTIF('Seasonality Evidence'!B:B,A45)</f>
        <v/>
      </c>
      <c r="X45" s="9">
        <f>COUNTIF('Research Evidence'!B:B,A45)</f>
        <v/>
      </c>
      <c r="Y45" s="9" t="n"/>
      <c r="Z45" s="9" t="n"/>
      <c r="AA45" s="9" t="n"/>
      <c r="AB45" s="9" t="n"/>
      <c r="AC45" s="9" t="n"/>
      <c r="AD45" s="9" t="n"/>
      <c r="AE45" s="9" t="n"/>
      <c r="AF45" s="9" t="n"/>
      <c r="AG45" s="9" t="n"/>
      <c r="AH45" s="9" t="n"/>
      <c r="AI45" s="9" t="n"/>
      <c r="AJ45" s="9" t="n"/>
      <c r="AK45" s="9" t="n"/>
    </row>
    <row r="46">
      <c r="A46" s="9" t="n">
        <v>45</v>
      </c>
      <c r="B46" s="9" t="inlineStr">
        <is>
          <t>Củ &amp; rễ</t>
        </is>
      </c>
      <c r="C46" s="9" t="inlineStr">
        <is>
          <t>Củ cải trắng</t>
        </is>
      </c>
      <c r="D46" s="9" t="inlineStr">
        <is>
          <t>VEG-CCT-045</t>
        </is>
      </c>
      <c r="E46" s="9" t="inlineStr">
        <is>
          <t>Đà Lạt, Việt Nam</t>
        </is>
      </c>
      <c r="F46" s="9" t="inlineStr">
        <is>
          <t>VietGAP</t>
        </is>
      </c>
      <c r="G46" s="9" t="inlineStr">
        <is>
          <t>Nơi khô mát 1-2 tuần.</t>
        </is>
      </c>
      <c r="H46" s="9" t="inlineStr">
        <is>
          <t>800g</t>
        </is>
      </c>
      <c r="I46" s="9" t="n"/>
      <c r="J46" s="9" t="inlineStr">
        <is>
          <t>Giàu vitamin C, chất xơ... Củ trắng giòn, vị ngọt thanh.</t>
        </is>
      </c>
      <c r="K46" s="9" t="inlineStr">
        <is>
          <t>Ngọt thanh</t>
        </is>
      </c>
      <c r="L46" s="9" t="inlineStr">
        <is>
          <t>Giòn</t>
        </is>
      </c>
      <c r="M46" s="9" t="inlineStr">
        <is>
          <t>Nấu canh</t>
        </is>
      </c>
      <c r="N46" s="9" t="inlineStr">
        <is>
          <t>Nội địa</t>
        </is>
      </c>
      <c r="O46" s="9" t="inlineStr">
        <is>
          <t>Origin|Standard|Preservation|Weight|Attributes|Seasonality heuristic</t>
        </is>
      </c>
      <c r="P46" s="9" t="inlineStr">
        <is>
          <t>Origin; Season window; Standard/cert; Preservation guidance; Flavor/Texture/Usage</t>
        </is>
      </c>
      <c r="Q46" s="9" t="inlineStr">
        <is>
          <t>Trung bình</t>
        </is>
      </c>
      <c r="R46" s="9" t="inlineStr">
        <is>
          <t>B5</t>
        </is>
      </c>
      <c r="S46" s="9" t="inlineStr">
        <is>
          <t>Rau ăn quả, củ/rễ, nấm và nhóm còn lại; kiểm tra seasonality/cultivation theo vùng hoặc mô hình trồng.</t>
        </is>
      </c>
      <c r="T46" s="9" t="inlineStr">
        <is>
          <t>Pending</t>
        </is>
      </c>
      <c r="U46" s="9" t="n"/>
      <c r="V46" s="9">
        <f>COUNTIF('Seasonality Evidence'!B:B,A46)</f>
        <v/>
      </c>
      <c r="W46" s="9">
        <f>COUNTIF('Seasonality Evidence'!B:B,A46)</f>
        <v/>
      </c>
      <c r="X46" s="9">
        <f>COUNTIF('Research Evidence'!B:B,A46)</f>
        <v/>
      </c>
      <c r="Y46" s="9" t="n"/>
      <c r="Z46" s="9" t="n"/>
      <c r="AA46" s="9" t="n"/>
      <c r="AB46" s="9" t="n"/>
      <c r="AC46" s="9" t="n"/>
      <c r="AD46" s="9" t="n"/>
      <c r="AE46" s="9" t="n"/>
      <c r="AF46" s="9" t="n"/>
      <c r="AG46" s="9" t="n"/>
      <c r="AH46" s="9" t="n"/>
      <c r="AI46" s="9" t="n"/>
      <c r="AJ46" s="9" t="n"/>
      <c r="AK46" s="9" t="n"/>
    </row>
    <row r="47">
      <c r="A47" s="9" t="n">
        <v>46</v>
      </c>
      <c r="B47" s="9" t="inlineStr">
        <is>
          <t>Củ &amp; rễ</t>
        </is>
      </c>
      <c r="C47" s="9" t="inlineStr">
        <is>
          <t>Khoai lang Nhật</t>
        </is>
      </c>
      <c r="D47" s="9" t="inlineStr">
        <is>
          <t>VEG-KLN-046</t>
        </is>
      </c>
      <c r="E47" s="9" t="inlineStr">
        <is>
          <t>Nhật Bản (trồng VN)</t>
        </is>
      </c>
      <c r="F47" s="9" t="inlineStr">
        <is>
          <t>GlobalGAP</t>
        </is>
      </c>
      <c r="G47" s="9" t="inlineStr">
        <is>
          <t>Nơi khô thoáng 2-3 tuần.</t>
        </is>
      </c>
      <c r="H47" s="9" t="inlineStr">
        <is>
          <t>700g</t>
        </is>
      </c>
      <c r="I47" s="9" t="n"/>
      <c r="J47" s="9" t="inlineStr">
        <is>
          <t>Giàu beta-carotene, chất xơ... Củ vàng cam, ngọt bùi.</t>
        </is>
      </c>
      <c r="K47" s="9" t="inlineStr">
        <is>
          <t>Ngọt</t>
        </is>
      </c>
      <c r="L47" s="9" t="inlineStr">
        <is>
          <t>Tươi</t>
        </is>
      </c>
      <c r="M47" s="9" t="inlineStr">
        <is>
          <t>Nướng</t>
        </is>
      </c>
      <c r="N47" s="9" t="inlineStr">
        <is>
          <t>Nước ngoài / cần kiểm tra</t>
        </is>
      </c>
      <c r="O47" s="9" t="inlineStr">
        <is>
          <t>Origin|Standard|Preservation|Weight|Attributes|Seasonality heuristic</t>
        </is>
      </c>
      <c r="P47" s="9" t="inlineStr">
        <is>
          <t>Origin; Season window; Standard/cert; Preservation guidance; Flavor/Texture/Usage</t>
        </is>
      </c>
      <c r="Q47" s="9" t="inlineStr">
        <is>
          <t>Cao</t>
        </is>
      </c>
      <c r="R47" s="9" t="inlineStr">
        <is>
          <t>B2</t>
        </is>
      </c>
      <c r="S47" s="9" t="inlineStr">
        <is>
          <t>Hàng nhập khẩu/hybrid origin/non-fruit cần nguồn gốc rất chặt và note rõ mức chắc chắn.</t>
        </is>
      </c>
      <c r="T47" s="9" t="inlineStr">
        <is>
          <t>Partially verified - batch 2</t>
        </is>
      </c>
      <c r="U47" s="9" t="inlineStr">
        <is>
          <t>Bắc Giang: khoai lang Nhật trồng 2 vụ/năm, vụ Xuân thu đầu tháng 5 âm lịch và vụ Đông thu tháng 12 âm lịch; Tây Ninh có mô hình khoai lang tím Nhật vụ Đông Xuân.</t>
        </is>
      </c>
      <c r="V47" s="9" t="n">
        <v>2</v>
      </c>
      <c r="W47" s="9" t="n">
        <v>2</v>
      </c>
      <c r="X47" s="9" t="n">
        <v>1</v>
      </c>
      <c r="Y47" s="9" t="inlineStr">
        <is>
          <t>Vietnam; Japan variety/origin label needs supplier confirmation</t>
        </is>
      </c>
      <c r="Z47" s="9" t="inlineStr">
        <is>
          <t>Bắc Giang; Tây Ninh</t>
        </is>
      </c>
      <c r="AA47" s="9" t="inlineStr">
        <is>
          <t>Domestic-grown / foreign variety label</t>
        </is>
      </c>
      <c r="AB47" s="9" t="inlineStr">
        <is>
          <t>GlobalGAP chưa kiểm chứng từ nguồn công khai</t>
        </is>
      </c>
      <c r="AC47" s="9" t="inlineStr">
        <is>
          <t>Nơi khô thoáng; cần xác nhận theo quy cách đóng gói nội bộ</t>
        </is>
      </c>
      <c r="AD47" s="9" t="inlineStr">
        <is>
          <t>Ngọt</t>
        </is>
      </c>
      <c r="AE47" s="9" t="inlineStr">
        <is>
          <t>Bở/dẻo tùy giống; nguồn không xác nhận SKU</t>
        </is>
      </c>
      <c r="AF47" s="9" t="inlineStr">
        <is>
          <t>Nướng, luộc, hấp</t>
        </is>
      </c>
      <c r="AG47" s="9" t="inlineStr">
        <is>
          <t>https://khuyennongvn.gov.vn/chuong-trinh-nganh-nong-nghiep/tai-co-cau-nganh-nong-nghiep/bac-giang-trong-khoai-thu-nhap-tren-120-150-trieu-donghavu-15779.html</t>
        </is>
      </c>
      <c r="AH47" s="9" t="inlineStr">
        <is>
          <t>https://khuyennongvn.gov.vn/chuong-trinh-nganh-nong-nghiep/tai-co-cau-nganh-nong-nghiep/khoai-lang-tim-nhat-cay-trong-tiem-nang-cho-nong-dan-tay-ninh-31095.html</t>
        </is>
      </c>
      <c r="AI47" s="9" t="inlineStr">
        <is>
          <t>2026-04-24 21:12:38 ICT</t>
        </is>
      </c>
      <c r="AJ47" s="9" t="inlineStr">
        <is>
          <t>Chưa có nguồn công khai xác nhận GlobalGAP, vùng cung ứng SKU hiện tại hoặc nhãn 'Nhật Bản (trồng VN)'.</t>
        </is>
      </c>
      <c r="AK47" s="9" t="inlineStr">
        <is>
          <t>Nên đối chiếu chứng nhận/COA/nhà cung cấp trước khi nhập DB chính thức.</t>
        </is>
      </c>
    </row>
    <row r="48">
      <c r="A48" s="9" t="n">
        <v>47</v>
      </c>
      <c r="B48" s="9" t="inlineStr">
        <is>
          <t>Củ &amp; rễ</t>
        </is>
      </c>
      <c r="C48" s="9" t="inlineStr">
        <is>
          <t>Sắn lùn</t>
        </is>
      </c>
      <c r="D48" s="9" t="inlineStr">
        <is>
          <t>VEG-SL-047</t>
        </is>
      </c>
      <c r="E48" s="9" t="inlineStr">
        <is>
          <t>Tây Nguyên, Việt Nam</t>
        </is>
      </c>
      <c r="F48" s="9" t="inlineStr">
        <is>
          <t>OCOP 3 sao</t>
        </is>
      </c>
      <c r="G48" s="9" t="inlineStr">
        <is>
          <t>Nơi khô thoáng 1 tuần.</t>
        </is>
      </c>
      <c r="H48" s="9" t="inlineStr">
        <is>
          <t>1kg</t>
        </is>
      </c>
      <c r="I48" s="9" t="n"/>
      <c r="J48" s="9" t="inlineStr">
        <is>
          <t>Giàu tinh bột, vitamin B... Củ trắng, bùi dẻo.</t>
        </is>
      </c>
      <c r="K48" s="9" t="inlineStr">
        <is>
          <t>Bùi</t>
        </is>
      </c>
      <c r="L48" s="9" t="inlineStr">
        <is>
          <t>Tươi</t>
        </is>
      </c>
      <c r="M48" s="9" t="inlineStr">
        <is>
          <t>Đa dụng</t>
        </is>
      </c>
      <c r="N48" s="9" t="inlineStr">
        <is>
          <t>Nội địa</t>
        </is>
      </c>
      <c r="O48" s="9" t="inlineStr">
        <is>
          <t>Origin|Standard|Preservation|Weight|Attributes|Seasonality heuristic</t>
        </is>
      </c>
      <c r="P48" s="9" t="inlineStr">
        <is>
          <t>Origin; Season window; Standard/cert; Preservation guidance; Flavor/Texture/Usage</t>
        </is>
      </c>
      <c r="Q48" s="9" t="inlineStr">
        <is>
          <t>Trung bình</t>
        </is>
      </c>
      <c r="R48" s="9" t="inlineStr">
        <is>
          <t>B5</t>
        </is>
      </c>
      <c r="S48" s="9" t="inlineStr">
        <is>
          <t>Rau ăn quả, củ/rễ, nấm và nhóm còn lại; kiểm tra seasonality/cultivation theo vùng hoặc mô hình trồng.</t>
        </is>
      </c>
      <c r="T48" s="9" t="inlineStr">
        <is>
          <t>Pending</t>
        </is>
      </c>
      <c r="U48" s="9" t="n"/>
      <c r="V48" s="9">
        <f>COUNTIF('Seasonality Evidence'!B:B,A48)</f>
        <v/>
      </c>
      <c r="W48" s="9">
        <f>COUNTIF('Seasonality Evidence'!B:B,A48)</f>
        <v/>
      </c>
      <c r="X48" s="9">
        <f>COUNTIF('Research Evidence'!B:B,A48)</f>
        <v/>
      </c>
      <c r="Y48" s="9" t="n"/>
      <c r="Z48" s="9" t="n"/>
      <c r="AA48" s="9" t="n"/>
      <c r="AB48" s="9" t="n"/>
      <c r="AC48" s="9" t="n"/>
      <c r="AD48" s="9" t="n"/>
      <c r="AE48" s="9" t="n"/>
      <c r="AF48" s="9" t="n"/>
      <c r="AG48" s="9" t="n"/>
      <c r="AH48" s="9" t="n"/>
      <c r="AI48" s="9" t="n"/>
      <c r="AJ48" s="9" t="n"/>
      <c r="AK48" s="9" t="n"/>
    </row>
    <row r="49">
      <c r="A49" s="9" t="n">
        <v>48</v>
      </c>
      <c r="B49" s="9" t="inlineStr">
        <is>
          <t>Củ &amp; rễ</t>
        </is>
      </c>
      <c r="C49" s="9" t="inlineStr">
        <is>
          <t>Gừng tươi</t>
        </is>
      </c>
      <c r="D49" s="9" t="inlineStr">
        <is>
          <t>VEG-GT-048</t>
        </is>
      </c>
      <c r="E49" s="9" t="inlineStr">
        <is>
          <t>Lâm Đồng, Việt Nam</t>
        </is>
      </c>
      <c r="F49" s="9" t="inlineStr">
        <is>
          <t>VietGAP</t>
        </is>
      </c>
      <c r="G49" s="9" t="inlineStr">
        <is>
          <t>Nơi khô mát 2-3 tuần.</t>
        </is>
      </c>
      <c r="H49" s="9" t="inlineStr">
        <is>
          <t>500g</t>
        </is>
      </c>
      <c r="I49" s="9" t="n"/>
      <c r="J49" s="9" t="inlineStr">
        <is>
          <t>Giàu gingerol, chất chống viêm... Củ vàng, cay thơm.</t>
        </is>
      </c>
      <c r="K49" s="9" t="inlineStr">
        <is>
          <t>Cay</t>
        </is>
      </c>
      <c r="L49" s="9" t="inlineStr">
        <is>
          <t>Tươi</t>
        </is>
      </c>
      <c r="M49" s="9" t="inlineStr">
        <is>
          <t>Đa dụng</t>
        </is>
      </c>
      <c r="N49" s="9" t="inlineStr">
        <is>
          <t>Nội địa</t>
        </is>
      </c>
      <c r="O49" s="9" t="inlineStr">
        <is>
          <t>Origin|Standard|Preservation|Weight|Attributes|Seasonality heuristic</t>
        </is>
      </c>
      <c r="P49" s="9" t="inlineStr">
        <is>
          <t>Origin; Season window; Standard/cert; Preservation guidance; Flavor/Texture/Usage</t>
        </is>
      </c>
      <c r="Q49" s="9" t="inlineStr">
        <is>
          <t>Trung bình</t>
        </is>
      </c>
      <c r="R49" s="9" t="inlineStr">
        <is>
          <t>B5</t>
        </is>
      </c>
      <c r="S49" s="9" t="inlineStr">
        <is>
          <t>Rau ăn quả, củ/rễ, nấm và nhóm còn lại; kiểm tra seasonality/cultivation theo vùng hoặc mô hình trồng.</t>
        </is>
      </c>
      <c r="T49" s="9" t="inlineStr">
        <is>
          <t>Pending</t>
        </is>
      </c>
      <c r="U49" s="9" t="n"/>
      <c r="V49" s="9">
        <f>COUNTIF('Seasonality Evidence'!B:B,A49)</f>
        <v/>
      </c>
      <c r="W49" s="9">
        <f>COUNTIF('Seasonality Evidence'!B:B,A49)</f>
        <v/>
      </c>
      <c r="X49" s="9">
        <f>COUNTIF('Research Evidence'!B:B,A49)</f>
        <v/>
      </c>
      <c r="Y49" s="9" t="n"/>
      <c r="Z49" s="9" t="n"/>
      <c r="AA49" s="9" t="n"/>
      <c r="AB49" s="9" t="n"/>
      <c r="AC49" s="9" t="n"/>
      <c r="AD49" s="9" t="n"/>
      <c r="AE49" s="9" t="n"/>
      <c r="AF49" s="9" t="n"/>
      <c r="AG49" s="9" t="n"/>
      <c r="AH49" s="9" t="n"/>
      <c r="AI49" s="9" t="n"/>
      <c r="AJ49" s="9" t="n"/>
      <c r="AK49" s="9" t="n"/>
    </row>
    <row r="50">
      <c r="A50" s="9" t="n">
        <v>49</v>
      </c>
      <c r="B50" s="9" t="inlineStr">
        <is>
          <t>Củ &amp; rễ</t>
        </is>
      </c>
      <c r="C50" s="9" t="inlineStr">
        <is>
          <t>Hành tây tím</t>
        </is>
      </c>
      <c r="D50" s="9" t="inlineStr">
        <is>
          <t>VEG-HTT-049</t>
        </is>
      </c>
      <c r="E50" s="9" t="inlineStr">
        <is>
          <t>Đà Lạt, Việt Nam</t>
        </is>
      </c>
      <c r="F50" s="9" t="inlineStr">
        <is>
          <t>GlobalGAP</t>
        </is>
      </c>
      <c r="G50" s="9" t="inlineStr">
        <is>
          <t>Nơi khô thoáng 3-4 tuần.</t>
        </is>
      </c>
      <c r="H50" s="9" t="inlineStr">
        <is>
          <t>600g</t>
        </is>
      </c>
      <c r="I50" s="9" t="n"/>
      <c r="J50" s="9" t="inlineStr">
        <is>
          <t>Giàu quercetin, vitamin C... Củ tím đẹp, vị ngọt nhẹ.</t>
        </is>
      </c>
      <c r="K50" s="9" t="inlineStr">
        <is>
          <t>Ngọt nhẹ</t>
        </is>
      </c>
      <c r="L50" s="9" t="inlineStr">
        <is>
          <t>Tươi</t>
        </is>
      </c>
      <c r="M50" s="9" t="inlineStr">
        <is>
          <t>Salad / ăn sống</t>
        </is>
      </c>
      <c r="N50" s="9" t="inlineStr">
        <is>
          <t>Nội địa</t>
        </is>
      </c>
      <c r="O50" s="9" t="inlineStr">
        <is>
          <t>Origin|Standard|Preservation|Weight|Attributes|Seasonality heuristic</t>
        </is>
      </c>
      <c r="P50" s="9" t="inlineStr">
        <is>
          <t>Origin; Season window; Standard/cert; Preservation guidance; Flavor/Texture/Usage</t>
        </is>
      </c>
      <c r="Q50" s="9" t="inlineStr">
        <is>
          <t>Trung bình</t>
        </is>
      </c>
      <c r="R50" s="9" t="inlineStr">
        <is>
          <t>B5</t>
        </is>
      </c>
      <c r="S50" s="9" t="inlineStr">
        <is>
          <t>Rau ăn quả, củ/rễ, nấm và nhóm còn lại; kiểm tra seasonality/cultivation theo vùng hoặc mô hình trồng.</t>
        </is>
      </c>
      <c r="T50" s="9" t="inlineStr">
        <is>
          <t>Pending</t>
        </is>
      </c>
      <c r="U50" s="9" t="n"/>
      <c r="V50" s="9">
        <f>COUNTIF('Seasonality Evidence'!B:B,A50)</f>
        <v/>
      </c>
      <c r="W50" s="9">
        <f>COUNTIF('Seasonality Evidence'!B:B,A50)</f>
        <v/>
      </c>
      <c r="X50" s="9">
        <f>COUNTIF('Research Evidence'!B:B,A50)</f>
        <v/>
      </c>
      <c r="Y50" s="9" t="n"/>
      <c r="Z50" s="9" t="n"/>
      <c r="AA50" s="9" t="n"/>
      <c r="AB50" s="9" t="n"/>
      <c r="AC50" s="9" t="n"/>
      <c r="AD50" s="9" t="n"/>
      <c r="AE50" s="9" t="n"/>
      <c r="AF50" s="9" t="n"/>
      <c r="AG50" s="9" t="n"/>
      <c r="AH50" s="9" t="n"/>
      <c r="AI50" s="9" t="n"/>
      <c r="AJ50" s="9" t="n"/>
      <c r="AK50" s="9" t="n"/>
    </row>
    <row r="51">
      <c r="A51" s="9" t="n">
        <v>50</v>
      </c>
      <c r="B51" s="9" t="inlineStr">
        <is>
          <t>Nấm</t>
        </is>
      </c>
      <c r="C51" s="9" t="inlineStr">
        <is>
          <t>Nấm kim châm</t>
        </is>
      </c>
      <c r="D51" s="9" t="inlineStr">
        <is>
          <t>VEG-NKC-050</t>
        </is>
      </c>
      <c r="E51" s="9" t="inlineStr">
        <is>
          <t>Lâm Đồng, Việt Nam</t>
        </is>
      </c>
      <c r="F51" s="9" t="inlineStr">
        <is>
          <t>VietGAP</t>
        </is>
      </c>
      <c r="G51" s="9" t="inlineStr">
        <is>
          <t>Ngăn mát 4-5 ngày.</t>
        </is>
      </c>
      <c r="H51" s="9" t="inlineStr">
        <is>
          <t>300g</t>
        </is>
      </c>
      <c r="I51" s="9" t="n"/>
      <c r="J51" s="9" t="inlineStr">
        <is>
          <t>Giàu đạm, vitamin D... Nấm trắng dài, giòn ngọt.</t>
        </is>
      </c>
      <c r="K51" s="9" t="inlineStr">
        <is>
          <t>Ngọt</t>
        </is>
      </c>
      <c r="L51" s="9" t="inlineStr">
        <is>
          <t>Giòn</t>
        </is>
      </c>
      <c r="M51" s="9" t="inlineStr">
        <is>
          <t>Xào / nấu canh</t>
        </is>
      </c>
      <c r="N51" s="9" t="inlineStr">
        <is>
          <t>Nội địa</t>
        </is>
      </c>
      <c r="O51" s="9" t="inlineStr">
        <is>
          <t>Origin|Standard|Preservation|Weight|Attributes|Seasonality heuristic</t>
        </is>
      </c>
      <c r="P51" s="9" t="inlineStr">
        <is>
          <t>Origin; Season window; Standard/cert; Preservation guidance; Flavor/Texture/Usage</t>
        </is>
      </c>
      <c r="Q51" s="9" t="inlineStr">
        <is>
          <t>Trung bình</t>
        </is>
      </c>
      <c r="R51" s="9" t="inlineStr">
        <is>
          <t>B5</t>
        </is>
      </c>
      <c r="S51" s="9" t="inlineStr">
        <is>
          <t>Rau ăn quả, củ/rễ, nấm và nhóm còn lại; kiểm tra seasonality/cultivation theo vùng hoặc mô hình trồng.</t>
        </is>
      </c>
      <c r="T51" s="9" t="inlineStr">
        <is>
          <t>Pending</t>
        </is>
      </c>
      <c r="U51" s="9" t="n"/>
      <c r="V51" s="9">
        <f>COUNTIF('Seasonality Evidence'!B:B,A51)</f>
        <v/>
      </c>
      <c r="W51" s="9">
        <f>COUNTIF('Seasonality Evidence'!B:B,A51)</f>
        <v/>
      </c>
      <c r="X51" s="9">
        <f>COUNTIF('Research Evidence'!B:B,A51)</f>
        <v/>
      </c>
      <c r="Y51" s="9" t="n"/>
      <c r="Z51" s="9" t="n"/>
      <c r="AA51" s="9" t="n"/>
      <c r="AB51" s="9" t="n"/>
      <c r="AC51" s="9" t="n"/>
      <c r="AD51" s="9" t="n"/>
      <c r="AE51" s="9" t="n"/>
      <c r="AF51" s="9" t="n"/>
      <c r="AG51" s="9" t="n"/>
      <c r="AH51" s="9" t="n"/>
      <c r="AI51" s="9" t="n"/>
      <c r="AJ51" s="9" t="n"/>
      <c r="AK51" s="9" t="n"/>
    </row>
    <row r="52">
      <c r="A52" s="9" t="n">
        <v>51</v>
      </c>
      <c r="B52" s="9" t="inlineStr">
        <is>
          <t>Nấm</t>
        </is>
      </c>
      <c r="C52" s="9" t="inlineStr">
        <is>
          <t>Nấm bào ngư</t>
        </is>
      </c>
      <c r="D52" s="9" t="inlineStr">
        <is>
          <t>VEG-NBN-051</t>
        </is>
      </c>
      <c r="E52" s="9" t="inlineStr">
        <is>
          <t>Đà Lạt, Việt Nam</t>
        </is>
      </c>
      <c r="F52" s="9" t="inlineStr">
        <is>
          <t>GlobalGAP</t>
        </is>
      </c>
      <c r="G52" s="9" t="inlineStr">
        <is>
          <t>Ngăn mát 5-6 ngày.</t>
        </is>
      </c>
      <c r="H52" s="9" t="inlineStr">
        <is>
          <t>400g</t>
        </is>
      </c>
      <c r="I52" s="9" t="n"/>
      <c r="J52" s="9" t="inlineStr">
        <is>
          <t>Giàu protein, vitamin B... Nấm tai lớn, thơm ngon.</t>
        </is>
      </c>
      <c r="K52" s="9" t="inlineStr">
        <is>
          <t>Tự nhiên</t>
        </is>
      </c>
      <c r="L52" s="9" t="inlineStr">
        <is>
          <t>Tươi</t>
        </is>
      </c>
      <c r="M52" s="9" t="inlineStr">
        <is>
          <t>Xào / nấu canh</t>
        </is>
      </c>
      <c r="N52" s="9" t="inlineStr">
        <is>
          <t>Nội địa</t>
        </is>
      </c>
      <c r="O52" s="9" t="inlineStr">
        <is>
          <t>Origin|Standard|Preservation|Weight|Attributes|Seasonality heuristic</t>
        </is>
      </c>
      <c r="P52" s="9" t="inlineStr">
        <is>
          <t>Origin; Season window; Standard/cert; Preservation guidance; Flavor/Texture/Usage</t>
        </is>
      </c>
      <c r="Q52" s="9" t="inlineStr">
        <is>
          <t>Trung bình</t>
        </is>
      </c>
      <c r="R52" s="9" t="inlineStr">
        <is>
          <t>B5</t>
        </is>
      </c>
      <c r="S52" s="9" t="inlineStr">
        <is>
          <t>Rau ăn quả, củ/rễ, nấm và nhóm còn lại; kiểm tra seasonality/cultivation theo vùng hoặc mô hình trồng.</t>
        </is>
      </c>
      <c r="T52" s="9" t="inlineStr">
        <is>
          <t>Pending</t>
        </is>
      </c>
      <c r="U52" s="9" t="n"/>
      <c r="V52" s="9">
        <f>COUNTIF('Seasonality Evidence'!B:B,A52)</f>
        <v/>
      </c>
      <c r="W52" s="9">
        <f>COUNTIF('Seasonality Evidence'!B:B,A52)</f>
        <v/>
      </c>
      <c r="X52" s="9">
        <f>COUNTIF('Research Evidence'!B:B,A52)</f>
        <v/>
      </c>
      <c r="Y52" s="9" t="n"/>
      <c r="Z52" s="9" t="n"/>
      <c r="AA52" s="9" t="n"/>
      <c r="AB52" s="9" t="n"/>
      <c r="AC52" s="9" t="n"/>
      <c r="AD52" s="9" t="n"/>
      <c r="AE52" s="9" t="n"/>
      <c r="AF52" s="9" t="n"/>
      <c r="AG52" s="9" t="n"/>
      <c r="AH52" s="9" t="n"/>
      <c r="AI52" s="9" t="n"/>
      <c r="AJ52" s="9" t="n"/>
      <c r="AK52" s="9" t="n"/>
    </row>
    <row r="53">
      <c r="A53" s="9" t="n">
        <v>52</v>
      </c>
      <c r="B53" s="9" t="inlineStr">
        <is>
          <t>Nấm</t>
        </is>
      </c>
      <c r="C53" s="9" t="inlineStr">
        <is>
          <t>Nấm hương khô</t>
        </is>
      </c>
      <c r="D53" s="9" t="inlineStr">
        <is>
          <t>VEG-NHK-052</t>
        </is>
      </c>
      <c r="E53" s="9" t="inlineStr">
        <is>
          <t>Trung Quốc</t>
        </is>
      </c>
      <c r="F53" s="9" t="inlineStr">
        <is>
          <t>Organic</t>
        </is>
      </c>
      <c r="G53" s="9" t="inlineStr">
        <is>
          <t>Nơi khô ráo, tránh ẩm.</t>
        </is>
      </c>
      <c r="H53" s="9" t="inlineStr">
        <is>
          <t>200g</t>
        </is>
      </c>
      <c r="I53" s="9" t="n"/>
      <c r="J53" s="9" t="inlineStr">
        <is>
          <t>Giàu umami, vitamin D... Nấm khô thơm đậm, bổ dưỡng.</t>
        </is>
      </c>
      <c r="K53" s="9" t="inlineStr">
        <is>
          <t>Tự nhiên</t>
        </is>
      </c>
      <c r="L53" s="9" t="inlineStr">
        <is>
          <t>Tươi</t>
        </is>
      </c>
      <c r="M53" s="9" t="inlineStr">
        <is>
          <t>Xào / nấu canh</t>
        </is>
      </c>
      <c r="N53" s="9" t="inlineStr">
        <is>
          <t>Nước ngoài / cần kiểm tra</t>
        </is>
      </c>
      <c r="O53" s="9" t="inlineStr">
        <is>
          <t>Origin|Standard|Preservation|Weight|Attributes|Seasonality heuristic</t>
        </is>
      </c>
      <c r="P53" s="9" t="inlineStr">
        <is>
          <t>Origin; Season window; Standard/cert; Preservation guidance; Flavor/Texture/Usage</t>
        </is>
      </c>
      <c r="Q53" s="9" t="inlineStr">
        <is>
          <t>Cao</t>
        </is>
      </c>
      <c r="R53" s="9" t="inlineStr">
        <is>
          <t>B2</t>
        </is>
      </c>
      <c r="S53" s="9" t="inlineStr">
        <is>
          <t>Hàng nhập khẩu/hybrid origin/non-fruit cần nguồn gốc rất chặt và note rõ mức chắc chắn.</t>
        </is>
      </c>
      <c r="T53" s="9" t="inlineStr">
        <is>
          <t>Partially verified - batch 2</t>
        </is>
      </c>
      <c r="U53" s="9" t="inlineStr">
        <is>
          <t>Nấm hương khô là sản phẩm chế biến/khô; mùa vụ bán lẻ không nên suy ra bằng lịch tươi nếu chưa có dữ liệu theo lô. Trung Quốc có sản xuất và xuất khẩu nấm hương khô.</t>
        </is>
      </c>
      <c r="V53" s="9" t="n">
        <v>1</v>
      </c>
      <c r="W53" s="9" t="n">
        <v>1</v>
      </c>
      <c r="X53" s="9" t="n">
        <v>2</v>
      </c>
      <c r="Y53" s="9" t="inlineStr">
        <is>
          <t>China</t>
        </is>
      </c>
      <c r="Z53" s="9" t="inlineStr">
        <is>
          <t>China; Hubei/Suizhou context for processed shiitake</t>
        </is>
      </c>
      <c r="AA53" s="9" t="inlineStr">
        <is>
          <t>Imported</t>
        </is>
      </c>
      <c r="AB53" s="9" t="inlineStr">
        <is>
          <t>Organic chưa kiểm chứng từ nguồn công khai</t>
        </is>
      </c>
      <c r="AC53" s="9" t="inlineStr">
        <is>
          <t>Nơi khô ráo, tránh ẩm; cần giữ kín bao bì sau mở</t>
        </is>
      </c>
      <c r="AD53" s="9" t="inlineStr">
        <is>
          <t>Umami, mùi nấm đậm</t>
        </is>
      </c>
      <c r="AE53" s="9" t="inlineStr">
        <is>
          <t>Khô; mềm lại sau ngâm</t>
        </is>
      </c>
      <c r="AF53" s="9" t="inlineStr">
        <is>
          <t>Xào, nấu canh, hầm</t>
        </is>
      </c>
      <c r="AG53" s="9" t="inlineStr">
        <is>
          <t>https://fao.org/docrep/fao/005/AB598E/AB598E00.pdf</t>
        </is>
      </c>
      <c r="AH53" s="9" t="inlineStr">
        <is>
          <t>https://en.people.cn/n3/2025/0930/c98649-20373212.html</t>
        </is>
      </c>
      <c r="AI53" s="9" t="inlineStr">
        <is>
          <t>2026-04-24 21:12:38 ICT</t>
        </is>
      </c>
      <c r="AJ53" s="9" t="inlineStr">
        <is>
          <t>Chưa xác nhận chứng nhận Organic, tỉnh sản xuất, nhà xuất khẩu và mùa vụ cụ thể của SKU.</t>
        </is>
      </c>
      <c r="AK53" s="9" t="inlineStr">
        <is>
          <t>Cần ưu tiên kiểm chứng bằng chứng từ nhập khẩu/nhãn sản phẩm.</t>
        </is>
      </c>
    </row>
    <row r="54">
      <c r="A54" s="9" t="n">
        <v>53</v>
      </c>
      <c r="B54" s="9" t="inlineStr">
        <is>
          <t>Nấm</t>
        </is>
      </c>
      <c r="C54" s="9" t="inlineStr">
        <is>
          <t>Nấm linh chi đỏ</t>
        </is>
      </c>
      <c r="D54" s="9" t="inlineStr">
        <is>
          <t>VEG-NLC-053</t>
        </is>
      </c>
      <c r="E54" s="9" t="inlineStr">
        <is>
          <t>Hàn Quốc (trồng VN)</t>
        </is>
      </c>
      <c r="F54" s="9" t="inlineStr">
        <is>
          <t>Dược liệu</t>
        </is>
      </c>
      <c r="G54" s="9" t="inlineStr">
        <is>
          <t>Nơi khô ráo, thoáng mát.</t>
        </is>
      </c>
      <c r="H54" s="9" t="inlineStr">
        <is>
          <t>100g</t>
        </is>
      </c>
      <c r="I54" s="9" t="n"/>
      <c r="J54" s="9" t="inlineStr">
        <is>
          <t>Dược liệu quý, giàu polysaccharide... Nấm đỏ thẫm, bổ dưỡng.</t>
        </is>
      </c>
      <c r="K54" s="9" t="inlineStr">
        <is>
          <t>Tự nhiên</t>
        </is>
      </c>
      <c r="L54" s="9" t="inlineStr">
        <is>
          <t>Tươi</t>
        </is>
      </c>
      <c r="M54" s="9" t="inlineStr">
        <is>
          <t>Nấu canh</t>
        </is>
      </c>
      <c r="N54" s="9" t="inlineStr">
        <is>
          <t>Nước ngoài / cần kiểm tra</t>
        </is>
      </c>
      <c r="O54" s="9" t="inlineStr">
        <is>
          <t>Origin|Standard|Preservation|Weight|Attributes|Seasonality heuristic</t>
        </is>
      </c>
      <c r="P54" s="9" t="inlineStr">
        <is>
          <t>Origin; Season window; Standard/cert; Preservation guidance; Flavor/Texture/Usage</t>
        </is>
      </c>
      <c r="Q54" s="9" t="inlineStr">
        <is>
          <t>Cao</t>
        </is>
      </c>
      <c r="R54" s="9" t="inlineStr">
        <is>
          <t>B2</t>
        </is>
      </c>
      <c r="S54" s="9" t="inlineStr">
        <is>
          <t>Hàng nhập khẩu/hybrid origin/non-fruit cần nguồn gốc rất chặt và note rõ mức chắc chắn.</t>
        </is>
      </c>
      <c r="T54" s="9" t="inlineStr">
        <is>
          <t>Partially verified - batch 2</t>
        </is>
      </c>
      <c r="U54" s="9" t="inlineStr">
        <is>
          <t>Nấm linh chi đỏ trồng theo chu kỳ nuôi trồng: lứa đầu khoảng 3 tháng, có thể thu nhiều lứa cách nhau khoảng 70-80 ngày; không nên gán mùa tự nhiên cố định.</t>
        </is>
      </c>
      <c r="V54" s="9" t="n">
        <v>1</v>
      </c>
      <c r="W54" s="9" t="n">
        <v>1</v>
      </c>
      <c r="X54" s="9" t="n">
        <v>1</v>
      </c>
      <c r="Y54" s="9" t="inlineStr">
        <is>
          <t>Vietnam cultivation verified; Korea origin label unverified</t>
        </is>
      </c>
      <c r="Z54" s="9" t="inlineStr">
        <is>
          <t>Hòa Bình; Lâm Đồng context cần kiểm chứng thêm nếu SKU ghi Đà Lạt</t>
        </is>
      </c>
      <c r="AA54" s="9" t="inlineStr">
        <is>
          <t>Domestic-grown / foreign-origin label needs supplier confirmation</t>
        </is>
      </c>
      <c r="AB54" s="9" t="inlineStr">
        <is>
          <t>Dược liệu chưa kiểm chứng bằng tiêu chuẩn cụ thể</t>
        </is>
      </c>
      <c r="AC54" s="9" t="inlineStr">
        <is>
          <t>Dạng khô nên để nơi khô ráo, thoáng mát; nguồn ghi sấy 40-45 độ C sau thu hái</t>
        </is>
      </c>
      <c r="AD54" s="9" t="inlineStr">
        <is>
          <t>Đắng nhẹ/đặc trưng dược liệu</t>
        </is>
      </c>
      <c r="AE54" s="9" t="inlineStr">
        <is>
          <t>Khô, cứng; dùng thái lát/hãm/nấu</t>
        </is>
      </c>
      <c r="AF54" s="9" t="inlineStr">
        <is>
          <t>Pha trà, sắc/nấu nước; không nên ghi nấu canh nếu chưa xác nhận mục đích bán</t>
        </is>
      </c>
      <c r="AG54" s="9" t="inlineStr">
        <is>
          <t>https://khuyennongvn.gov.vn/chuong-trinh-nganh-nong-nghiep/tai-co-cau-nganh-nong-nghiep/hoa-binh-trong-nam-linh-chi-tren-gia-the-go-keo-tuoi--mo-hinh-kinh-te-hieu-qua-21892.html</t>
        </is>
      </c>
      <c r="AH54" s="9" t="inlineStr"/>
      <c r="AI54" s="9" t="inlineStr">
        <is>
          <t>2026-04-24 21:12:38 ICT</t>
        </is>
      </c>
      <c r="AJ54" s="9" t="inlineStr">
        <is>
          <t>Chưa xác nhận giống Hàn Quốc, tiêu chuẩn dược liệu và vùng cung ứng thật của SKU.</t>
        </is>
      </c>
      <c r="AK54" s="9" t="inlineStr">
        <is>
          <t>Nên kiểm tra nhãn/COA vì đây là nhóm dược liệu.</t>
        </is>
      </c>
    </row>
    <row r="55">
      <c r="A55" s="9" t="n">
        <v>54</v>
      </c>
      <c r="B55" s="9" t="inlineStr">
        <is>
          <t>Nấm</t>
        </is>
      </c>
      <c r="C55" s="9" t="inlineStr">
        <is>
          <t>Nấm rơm tươi</t>
        </is>
      </c>
      <c r="D55" s="9" t="inlineStr">
        <is>
          <t>VEG-NRT-054</t>
        </is>
      </c>
      <c r="E55" s="9" t="inlineStr">
        <is>
          <t>Đồng Tháp, Việt Nam</t>
        </is>
      </c>
      <c r="F55" s="9" t="inlineStr">
        <is>
          <t>VietGAP</t>
        </is>
      </c>
      <c r="G55" s="9" t="inlineStr">
        <is>
          <t>Ngăn mát 2-3 ngày.</t>
        </is>
      </c>
      <c r="H55" s="9" t="inlineStr">
        <is>
          <t>300g</t>
        </is>
      </c>
      <c r="I55" s="9" t="n"/>
      <c r="J55" s="9" t="inlineStr">
        <is>
          <t>Giàu protein, vitamin B... Nấm tròn trắng, mềm ngọt.</t>
        </is>
      </c>
      <c r="K55" s="9" t="inlineStr">
        <is>
          <t>Ngọt</t>
        </is>
      </c>
      <c r="L55" s="9" t="inlineStr">
        <is>
          <t>Mềm</t>
        </is>
      </c>
      <c r="M55" s="9" t="inlineStr">
        <is>
          <t>Xào / nấu canh</t>
        </is>
      </c>
      <c r="N55" s="9" t="inlineStr">
        <is>
          <t>Nội địa</t>
        </is>
      </c>
      <c r="O55" s="9" t="inlineStr">
        <is>
          <t>Origin|Standard|Preservation|Weight|Attributes|Seasonality heuristic</t>
        </is>
      </c>
      <c r="P55" s="9" t="inlineStr">
        <is>
          <t>Origin; Season window; Standard/cert; Preservation guidance; Flavor/Texture/Usage</t>
        </is>
      </c>
      <c r="Q55" s="9" t="inlineStr">
        <is>
          <t>Trung bình</t>
        </is>
      </c>
      <c r="R55" s="9" t="inlineStr">
        <is>
          <t>B5</t>
        </is>
      </c>
      <c r="S55" s="9" t="inlineStr">
        <is>
          <t>Rau ăn quả, củ/rễ, nấm và nhóm còn lại; kiểm tra seasonality/cultivation theo vùng hoặc mô hình trồng.</t>
        </is>
      </c>
      <c r="T55" s="9" t="inlineStr">
        <is>
          <t>Pending</t>
        </is>
      </c>
      <c r="U55" s="9" t="n"/>
      <c r="V55" s="9">
        <f>COUNTIF('Seasonality Evidence'!B:B,A55)</f>
        <v/>
      </c>
      <c r="W55" s="9">
        <f>COUNTIF('Seasonality Evidence'!B:B,A55)</f>
        <v/>
      </c>
      <c r="X55" s="9">
        <f>COUNTIF('Research Evidence'!B:B,A55)</f>
        <v/>
      </c>
      <c r="Y55" s="9" t="n"/>
      <c r="Z55" s="9" t="n"/>
      <c r="AA55" s="9" t="n"/>
      <c r="AB55" s="9" t="n"/>
      <c r="AC55" s="9" t="n"/>
      <c r="AD55" s="9" t="n"/>
      <c r="AE55" s="9" t="n"/>
      <c r="AF55" s="9" t="n"/>
      <c r="AG55" s="9" t="n"/>
      <c r="AH55" s="9" t="n"/>
      <c r="AI55" s="9" t="n"/>
      <c r="AJ55" s="9" t="n"/>
      <c r="AK55" s="9" t="n"/>
    </row>
    <row r="56">
      <c r="A56" s="9" t="n">
        <v>55</v>
      </c>
      <c r="B56" s="9" t="inlineStr">
        <is>
          <t>Rau thơm &amp; gia vị</t>
        </is>
      </c>
      <c r="C56" s="9" t="inlineStr">
        <is>
          <t>Hành lá</t>
        </is>
      </c>
      <c r="D56" s="9" t="inlineStr">
        <is>
          <t>VEG-HL-055</t>
        </is>
      </c>
      <c r="E56" s="9" t="inlineStr">
        <is>
          <t>Long An, Việt Nam</t>
        </is>
      </c>
      <c r="F56" s="9" t="inlineStr">
        <is>
          <t>VietGAP</t>
        </is>
      </c>
      <c r="G56" s="9" t="inlineStr">
        <is>
          <t>Ngăn mát 3-4 ngày.</t>
        </is>
      </c>
      <c r="H56" s="9" t="inlineStr">
        <is>
          <t>200g</t>
        </is>
      </c>
      <c r="I56" s="9" t="n"/>
      <c r="J56" s="9" t="inlineStr">
        <is>
          <t>Giàu vitamin K, folate... Lá xanh thơm, vị cay nhẹ.</t>
        </is>
      </c>
      <c r="K56" s="9" t="inlineStr">
        <is>
          <t>Cay</t>
        </is>
      </c>
      <c r="L56" s="9" t="inlineStr">
        <is>
          <t>Tươi</t>
        </is>
      </c>
      <c r="M56" s="9" t="inlineStr">
        <is>
          <t>Đa dụng</t>
        </is>
      </c>
      <c r="N56" s="9" t="inlineStr">
        <is>
          <t>Nội địa</t>
        </is>
      </c>
      <c r="O56" s="9" t="inlineStr">
        <is>
          <t>Origin|Standard|Preservation|Weight|Attributes|Seasonality heuristic</t>
        </is>
      </c>
      <c r="P56" s="9" t="inlineStr">
        <is>
          <t>Origin; Season window; Standard/cert; Preservation guidance; Flavor/Texture/Usage</t>
        </is>
      </c>
      <c r="Q56" s="9" t="inlineStr">
        <is>
          <t>Trung bình</t>
        </is>
      </c>
      <c r="R56" s="9" t="inlineStr">
        <is>
          <t>B4</t>
        </is>
      </c>
      <c r="S56" s="9" t="inlineStr">
        <is>
          <t>Rau lá, rau thơm và nhóm thân/mầm; thường có quanh năm nhưng peak và vùng trồng khác nhau.</t>
        </is>
      </c>
      <c r="T56" s="9" t="inlineStr">
        <is>
          <t>Pending</t>
        </is>
      </c>
      <c r="U56" s="9" t="n"/>
      <c r="V56" s="9">
        <f>COUNTIF('Seasonality Evidence'!B:B,A56)</f>
        <v/>
      </c>
      <c r="W56" s="9">
        <f>COUNTIF('Seasonality Evidence'!B:B,A56)</f>
        <v/>
      </c>
      <c r="X56" s="9">
        <f>COUNTIF('Research Evidence'!B:B,A56)</f>
        <v/>
      </c>
      <c r="Y56" s="9" t="n"/>
      <c r="Z56" s="9" t="n"/>
      <c r="AA56" s="9" t="n"/>
      <c r="AB56" s="9" t="n"/>
      <c r="AC56" s="9" t="n"/>
      <c r="AD56" s="9" t="n"/>
      <c r="AE56" s="9" t="n"/>
      <c r="AF56" s="9" t="n"/>
      <c r="AG56" s="9" t="n"/>
      <c r="AH56" s="9" t="n"/>
      <c r="AI56" s="9" t="n"/>
      <c r="AJ56" s="9" t="n"/>
      <c r="AK56" s="9" t="n"/>
    </row>
    <row r="57">
      <c r="A57" s="9" t="n">
        <v>56</v>
      </c>
      <c r="B57" s="9" t="inlineStr">
        <is>
          <t>Rau thơm &amp; gia vị</t>
        </is>
      </c>
      <c r="C57" s="9" t="inlineStr">
        <is>
          <t>Ngò rí</t>
        </is>
      </c>
      <c r="D57" s="9" t="inlineStr">
        <is>
          <t>VEG-NR-056</t>
        </is>
      </c>
      <c r="E57" s="9" t="inlineStr">
        <is>
          <t>Tiền Giang, Việt Nam</t>
        </is>
      </c>
      <c r="F57" s="9" t="inlineStr">
        <is>
          <t>VietGAP</t>
        </is>
      </c>
      <c r="G57" s="9" t="inlineStr">
        <is>
          <t>Ngăn mát 2-3 ngày.</t>
        </is>
      </c>
      <c r="H57" s="9" t="inlineStr">
        <is>
          <t>150g</t>
        </is>
      </c>
      <c r="I57" s="9" t="n"/>
      <c r="J57" s="9" t="inlineStr">
        <is>
          <t>Giàu vitamin C, K... Lá xanh, thơm đặc trưng.</t>
        </is>
      </c>
      <c r="K57" s="9" t="inlineStr">
        <is>
          <t>Tự nhiên</t>
        </is>
      </c>
      <c r="L57" s="9" t="inlineStr">
        <is>
          <t>Tươi</t>
        </is>
      </c>
      <c r="M57" s="9" t="inlineStr">
        <is>
          <t>Nấu canh</t>
        </is>
      </c>
      <c r="N57" s="9" t="inlineStr">
        <is>
          <t>Nội địa</t>
        </is>
      </c>
      <c r="O57" s="9" t="inlineStr">
        <is>
          <t>Origin|Standard|Preservation|Weight|Attributes|Seasonality heuristic</t>
        </is>
      </c>
      <c r="P57" s="9" t="inlineStr">
        <is>
          <t>Origin; Season window; Standard/cert; Preservation guidance; Flavor/Texture/Usage</t>
        </is>
      </c>
      <c r="Q57" s="9" t="inlineStr">
        <is>
          <t>Trung bình</t>
        </is>
      </c>
      <c r="R57" s="9" t="inlineStr">
        <is>
          <t>B4</t>
        </is>
      </c>
      <c r="S57" s="9" t="inlineStr">
        <is>
          <t>Rau lá, rau thơm và nhóm thân/mầm; thường có quanh năm nhưng peak và vùng trồng khác nhau.</t>
        </is>
      </c>
      <c r="T57" s="9" t="inlineStr">
        <is>
          <t>Pending</t>
        </is>
      </c>
      <c r="U57" s="9" t="n"/>
      <c r="V57" s="9">
        <f>COUNTIF('Seasonality Evidence'!B:B,A57)</f>
        <v/>
      </c>
      <c r="W57" s="9">
        <f>COUNTIF('Seasonality Evidence'!B:B,A57)</f>
        <v/>
      </c>
      <c r="X57" s="9">
        <f>COUNTIF('Research Evidence'!B:B,A57)</f>
        <v/>
      </c>
      <c r="Y57" s="9" t="n"/>
      <c r="Z57" s="9" t="n"/>
      <c r="AA57" s="9" t="n"/>
      <c r="AB57" s="9" t="n"/>
      <c r="AC57" s="9" t="n"/>
      <c r="AD57" s="9" t="n"/>
      <c r="AE57" s="9" t="n"/>
      <c r="AF57" s="9" t="n"/>
      <c r="AG57" s="9" t="n"/>
      <c r="AH57" s="9" t="n"/>
      <c r="AI57" s="9" t="n"/>
      <c r="AJ57" s="9" t="n"/>
      <c r="AK57" s="9" t="n"/>
    </row>
    <row r="58">
      <c r="A58" s="9" t="n">
        <v>57</v>
      </c>
      <c r="B58" s="9" t="inlineStr">
        <is>
          <t>Rau thơm &amp; gia vị</t>
        </is>
      </c>
      <c r="C58" s="9" t="inlineStr">
        <is>
          <t>Húng lủi</t>
        </is>
      </c>
      <c r="D58" s="9" t="inlineStr">
        <is>
          <t>VEG-HL-057</t>
        </is>
      </c>
      <c r="E58" s="9" t="inlineStr">
        <is>
          <t>Đồng Nai, Việt Nam</t>
        </is>
      </c>
      <c r="F58" s="9" t="inlineStr">
        <is>
          <t>VietGAP</t>
        </is>
      </c>
      <c r="G58" s="9" t="inlineStr">
        <is>
          <t>Ngăn mát 2-3 ngày.</t>
        </is>
      </c>
      <c r="H58" s="9" t="inlineStr">
        <is>
          <t>100g</t>
        </is>
      </c>
      <c r="I58" s="9" t="n"/>
      <c r="J58" s="9" t="inlineStr">
        <is>
          <t>Giàu tinh dầu thơm... Lá xanh, mùi thơm độc đáo.</t>
        </is>
      </c>
      <c r="K58" s="9" t="inlineStr">
        <is>
          <t>Tự nhiên</t>
        </is>
      </c>
      <c r="L58" s="9" t="inlineStr">
        <is>
          <t>Tươi</t>
        </is>
      </c>
      <c r="M58" s="9" t="inlineStr">
        <is>
          <t>Salad / ăn sống</t>
        </is>
      </c>
      <c r="N58" s="9" t="inlineStr">
        <is>
          <t>Nội địa</t>
        </is>
      </c>
      <c r="O58" s="9" t="inlineStr">
        <is>
          <t>Origin|Standard|Preservation|Weight|Attributes|Seasonality heuristic</t>
        </is>
      </c>
      <c r="P58" s="9" t="inlineStr">
        <is>
          <t>Origin; Season window; Standard/cert; Preservation guidance; Flavor/Texture/Usage</t>
        </is>
      </c>
      <c r="Q58" s="9" t="inlineStr">
        <is>
          <t>Trung bình</t>
        </is>
      </c>
      <c r="R58" s="9" t="inlineStr">
        <is>
          <t>B4</t>
        </is>
      </c>
      <c r="S58" s="9" t="inlineStr">
        <is>
          <t>Rau lá, rau thơm và nhóm thân/mầm; thường có quanh năm nhưng peak và vùng trồng khác nhau.</t>
        </is>
      </c>
      <c r="T58" s="9" t="inlineStr">
        <is>
          <t>Pending</t>
        </is>
      </c>
      <c r="U58" s="9" t="n"/>
      <c r="V58" s="9">
        <f>COUNTIF('Seasonality Evidence'!B:B,A58)</f>
        <v/>
      </c>
      <c r="W58" s="9">
        <f>COUNTIF('Seasonality Evidence'!B:B,A58)</f>
        <v/>
      </c>
      <c r="X58" s="9">
        <f>COUNTIF('Research Evidence'!B:B,A58)</f>
        <v/>
      </c>
      <c r="Y58" s="9" t="n"/>
      <c r="Z58" s="9" t="n"/>
      <c r="AA58" s="9" t="n"/>
      <c r="AB58" s="9" t="n"/>
      <c r="AC58" s="9" t="n"/>
      <c r="AD58" s="9" t="n"/>
      <c r="AE58" s="9" t="n"/>
      <c r="AF58" s="9" t="n"/>
      <c r="AG58" s="9" t="n"/>
      <c r="AH58" s="9" t="n"/>
      <c r="AI58" s="9" t="n"/>
      <c r="AJ58" s="9" t="n"/>
      <c r="AK58" s="9" t="n"/>
    </row>
    <row r="59">
      <c r="A59" s="9" t="n">
        <v>58</v>
      </c>
      <c r="B59" s="9" t="inlineStr">
        <is>
          <t>Rau thơm &amp; gia vị</t>
        </is>
      </c>
      <c r="C59" s="9" t="inlineStr">
        <is>
          <t>Tía tô</t>
        </is>
      </c>
      <c r="D59" s="9" t="inlineStr">
        <is>
          <t>VEG-TT-058</t>
        </is>
      </c>
      <c r="E59" s="9" t="inlineStr">
        <is>
          <t>Lâm Đồng, Việt Nam</t>
        </is>
      </c>
      <c r="F59" s="9" t="inlineStr">
        <is>
          <t>OCOP 3 sao</t>
        </is>
      </c>
      <c r="G59" s="9" t="inlineStr">
        <is>
          <t>Ngăn mát 3-4 ngày.</t>
        </is>
      </c>
      <c r="H59" s="9" t="inlineStr">
        <is>
          <t>150g</t>
        </is>
      </c>
      <c r="I59" s="9" t="n"/>
      <c r="J59" s="9" t="inlineStr">
        <is>
          <t>Giàu chất chống oxy hóa... Lá tím, thơm đặc trưng.</t>
        </is>
      </c>
      <c r="K59" s="9" t="inlineStr">
        <is>
          <t>Tự nhiên</t>
        </is>
      </c>
      <c r="L59" s="9" t="inlineStr">
        <is>
          <t>Tươi</t>
        </is>
      </c>
      <c r="M59" s="9" t="inlineStr">
        <is>
          <t>Salad / ăn sống</t>
        </is>
      </c>
      <c r="N59" s="9" t="inlineStr">
        <is>
          <t>Nội địa</t>
        </is>
      </c>
      <c r="O59" s="9" t="inlineStr">
        <is>
          <t>Origin|Standard|Preservation|Weight|Attributes|Seasonality heuristic</t>
        </is>
      </c>
      <c r="P59" s="9" t="inlineStr">
        <is>
          <t>Origin; Season window; Standard/cert; Preservation guidance; Flavor/Texture/Usage</t>
        </is>
      </c>
      <c r="Q59" s="9" t="inlineStr">
        <is>
          <t>Trung bình</t>
        </is>
      </c>
      <c r="R59" s="9" t="inlineStr">
        <is>
          <t>B4</t>
        </is>
      </c>
      <c r="S59" s="9" t="inlineStr">
        <is>
          <t>Rau lá, rau thơm và nhóm thân/mầm; thường có quanh năm nhưng peak và vùng trồng khác nhau.</t>
        </is>
      </c>
      <c r="T59" s="9" t="inlineStr">
        <is>
          <t>Pending</t>
        </is>
      </c>
      <c r="U59" s="9" t="n"/>
      <c r="V59" s="9">
        <f>COUNTIF('Seasonality Evidence'!B:B,A59)</f>
        <v/>
      </c>
      <c r="W59" s="9">
        <f>COUNTIF('Seasonality Evidence'!B:B,A59)</f>
        <v/>
      </c>
      <c r="X59" s="9">
        <f>COUNTIF('Research Evidence'!B:B,A59)</f>
        <v/>
      </c>
      <c r="Y59" s="9" t="n"/>
      <c r="Z59" s="9" t="n"/>
      <c r="AA59" s="9" t="n"/>
      <c r="AB59" s="9" t="n"/>
      <c r="AC59" s="9" t="n"/>
      <c r="AD59" s="9" t="n"/>
      <c r="AE59" s="9" t="n"/>
      <c r="AF59" s="9" t="n"/>
      <c r="AG59" s="9" t="n"/>
      <c r="AH59" s="9" t="n"/>
      <c r="AI59" s="9" t="n"/>
      <c r="AJ59" s="9" t="n"/>
      <c r="AK59" s="9" t="n"/>
    </row>
    <row r="60">
      <c r="A60" s="9" t="n">
        <v>59</v>
      </c>
      <c r="B60" s="9" t="inlineStr">
        <is>
          <t>Rau thơm &amp; gia vị</t>
        </is>
      </c>
      <c r="C60" s="9" t="inlineStr">
        <is>
          <t>Rau răm</t>
        </is>
      </c>
      <c r="D60" s="9" t="inlineStr">
        <is>
          <t>VEG-RR-059</t>
        </is>
      </c>
      <c r="E60" s="9" t="inlineStr">
        <is>
          <t>Long An, Việt Nam</t>
        </is>
      </c>
      <c r="F60" s="9" t="inlineStr">
        <is>
          <t>VietGAP</t>
        </is>
      </c>
      <c r="G60" s="9" t="inlineStr">
        <is>
          <t>Ngăn mát 2-3 ngày.</t>
        </is>
      </c>
      <c r="H60" s="9" t="inlineStr">
        <is>
          <t>150g</t>
        </is>
      </c>
      <c r="I60" s="9" t="n"/>
      <c r="J60" s="9" t="inlineStr">
        <is>
          <t>Giàu vitamin C, chất xơ... Lá xanh thơm cay.</t>
        </is>
      </c>
      <c r="K60" s="9" t="inlineStr">
        <is>
          <t>Cay</t>
        </is>
      </c>
      <c r="L60" s="9" t="inlineStr">
        <is>
          <t>Tươi</t>
        </is>
      </c>
      <c r="M60" s="9" t="inlineStr">
        <is>
          <t>Salad / ăn sống</t>
        </is>
      </c>
      <c r="N60" s="9" t="inlineStr">
        <is>
          <t>Nội địa</t>
        </is>
      </c>
      <c r="O60" s="9" t="inlineStr">
        <is>
          <t>Origin|Standard|Preservation|Weight|Attributes|Seasonality heuristic</t>
        </is>
      </c>
      <c r="P60" s="9" t="inlineStr">
        <is>
          <t>Origin; Season window; Standard/cert; Preservation guidance; Flavor/Texture/Usage</t>
        </is>
      </c>
      <c r="Q60" s="9" t="inlineStr">
        <is>
          <t>Trung bình</t>
        </is>
      </c>
      <c r="R60" s="9" t="inlineStr">
        <is>
          <t>B4</t>
        </is>
      </c>
      <c r="S60" s="9" t="inlineStr">
        <is>
          <t>Rau lá, rau thơm và nhóm thân/mầm; thường có quanh năm nhưng peak và vùng trồng khác nhau.</t>
        </is>
      </c>
      <c r="T60" s="9" t="inlineStr">
        <is>
          <t>Pending</t>
        </is>
      </c>
      <c r="U60" s="9" t="n"/>
      <c r="V60" s="9">
        <f>COUNTIF('Seasonality Evidence'!B:B,A60)</f>
        <v/>
      </c>
      <c r="W60" s="9">
        <f>COUNTIF('Seasonality Evidence'!B:B,A60)</f>
        <v/>
      </c>
      <c r="X60" s="9">
        <f>COUNTIF('Research Evidence'!B:B,A60)</f>
        <v/>
      </c>
      <c r="Y60" s="9" t="n"/>
      <c r="Z60" s="9" t="n"/>
      <c r="AA60" s="9" t="n"/>
      <c r="AB60" s="9" t="n"/>
      <c r="AC60" s="9" t="n"/>
      <c r="AD60" s="9" t="n"/>
      <c r="AE60" s="9" t="n"/>
      <c r="AF60" s="9" t="n"/>
      <c r="AG60" s="9" t="n"/>
      <c r="AH60" s="9" t="n"/>
      <c r="AI60" s="9" t="n"/>
      <c r="AJ60" s="9" t="n"/>
      <c r="AK60" s="9" t="n"/>
    </row>
    <row r="61">
      <c r="A61" s="9" t="n">
        <v>60</v>
      </c>
      <c r="B61" s="9" t="inlineStr">
        <is>
          <t>Rau thơm &amp; gia vị</t>
        </is>
      </c>
      <c r="C61" s="9" t="inlineStr">
        <is>
          <t>Hành tỏi phi</t>
        </is>
      </c>
      <c r="D61" s="9" t="inlineStr">
        <is>
          <t>VEG-HTP-060</t>
        </is>
      </c>
      <c r="E61" s="9" t="inlineStr">
        <is>
          <t>TP.HCM, Việt Nam</t>
        </is>
      </c>
      <c r="F61" s="9" t="inlineStr">
        <is>
          <t>Chế biến sẵn</t>
        </is>
      </c>
      <c r="G61" s="9" t="inlineStr">
        <is>
          <t>Hộp kín, nơi khô mát.</t>
        </is>
      </c>
      <c r="H61" s="9" t="inlineStr">
        <is>
          <t>250g</t>
        </is>
      </c>
      <c r="I61" s="9" t="n"/>
      <c r="J61" s="9" t="inlineStr">
        <is>
          <t>Hành tỏi phi sẵn, thơm giòn... Tiết kiệm thời gian nấu.</t>
        </is>
      </c>
      <c r="K61" s="9" t="inlineStr">
        <is>
          <t>Tự nhiên</t>
        </is>
      </c>
      <c r="L61" s="9" t="inlineStr">
        <is>
          <t>Giòn</t>
        </is>
      </c>
      <c r="M61" s="9" t="inlineStr">
        <is>
          <t>Nấu canh</t>
        </is>
      </c>
      <c r="N61" s="9" t="inlineStr">
        <is>
          <t>Nội địa</t>
        </is>
      </c>
      <c r="O61" s="9" t="inlineStr">
        <is>
          <t>Origin|Standard|Preservation|Weight|Attributes|Seasonality heuristic</t>
        </is>
      </c>
      <c r="P61" s="9" t="inlineStr">
        <is>
          <t>Origin; Season window; Standard/cert; Preservation guidance; Flavor/Texture/Usage</t>
        </is>
      </c>
      <c r="Q61" s="9" t="inlineStr">
        <is>
          <t>Trung bình</t>
        </is>
      </c>
      <c r="R61" s="9" t="inlineStr">
        <is>
          <t>B4</t>
        </is>
      </c>
      <c r="S61" s="9" t="inlineStr">
        <is>
          <t>Rau lá, rau thơm và nhóm thân/mầm; thường có quanh năm nhưng peak và vùng trồng khác nhau.</t>
        </is>
      </c>
      <c r="T61" s="9" t="inlineStr">
        <is>
          <t>Pending</t>
        </is>
      </c>
      <c r="U61" s="9" t="n"/>
      <c r="V61" s="9">
        <f>COUNTIF('Seasonality Evidence'!B:B,A61)</f>
        <v/>
      </c>
      <c r="W61" s="9">
        <f>COUNTIF('Seasonality Evidence'!B:B,A61)</f>
        <v/>
      </c>
      <c r="X61" s="9">
        <f>COUNTIF('Research Evidence'!B:B,A61)</f>
        <v/>
      </c>
      <c r="Y61" s="9" t="n"/>
      <c r="Z61" s="9" t="n"/>
      <c r="AA61" s="9" t="n"/>
      <c r="AB61" s="9" t="n"/>
      <c r="AC61" s="9" t="n"/>
      <c r="AD61" s="9" t="n"/>
      <c r="AE61" s="9" t="n"/>
      <c r="AF61" s="9" t="n"/>
      <c r="AG61" s="9" t="n"/>
      <c r="AH61" s="9" t="n"/>
      <c r="AI61" s="9" t="n"/>
      <c r="AJ61" s="9" t="n"/>
      <c r="AK61" s="9" t="n"/>
    </row>
    <row r="62">
      <c r="A62" s="9" t="n">
        <v>61</v>
      </c>
      <c r="B62" s="9" t="inlineStr">
        <is>
          <t>Trái cây</t>
        </is>
      </c>
      <c r="C62" s="9" t="inlineStr">
        <is>
          <t>Táo Fuji Nhật</t>
        </is>
      </c>
      <c r="D62" s="9" t="inlineStr">
        <is>
          <t>FRUIT-TFN-061</t>
        </is>
      </c>
      <c r="E62" s="9" t="inlineStr">
        <is>
          <t>Nhật Bản</t>
        </is>
      </c>
      <c r="F62" s="9" t="inlineStr">
        <is>
          <t>GlobalGAP</t>
        </is>
      </c>
      <c r="G62" s="9" t="inlineStr">
        <is>
          <t>Nơi khô mát 2-3 tuần, hoặc ngăn mát tủ lạnh.</t>
        </is>
      </c>
      <c r="H62" s="9" t="inlineStr">
        <is>
          <t>1kg (4-5 trái)</t>
        </is>
      </c>
      <c r="I62" s="9" t="n"/>
      <c r="J62" s="9" t="inlineStr">
        <is>
          <t>Giàu vitamin C, chất xơ... Quả to đỏ, giòn ngọt thơm.</t>
        </is>
      </c>
      <c r="K62" s="9" t="inlineStr">
        <is>
          <t>Ngọt</t>
        </is>
      </c>
      <c r="L62" s="9" t="inlineStr">
        <is>
          <t>Giòn</t>
        </is>
      </c>
      <c r="M62" s="9" t="inlineStr">
        <is>
          <t>Salad / ăn sống</t>
        </is>
      </c>
      <c r="N62" s="9" t="inlineStr">
        <is>
          <t>Nước ngoài / cần kiểm tra</t>
        </is>
      </c>
      <c r="O62" s="9" t="inlineStr">
        <is>
          <t>Origin|Standard|Preservation|Weight|Attributes|Seasonality heuristic</t>
        </is>
      </c>
      <c r="P62" s="9" t="inlineStr">
        <is>
          <t>Origin; Season window; Standard/cert; Preservation guidance; Flavor/Texture/Usage</t>
        </is>
      </c>
      <c r="Q62" s="9" t="inlineStr">
        <is>
          <t>Cao</t>
        </is>
      </c>
      <c r="R62" s="9" t="inlineStr">
        <is>
          <t>B1</t>
        </is>
      </c>
      <c r="S62" s="9" t="inlineStr">
        <is>
          <t>Trái cây nhập khẩu hoặc ngoại nguồn, cần đối chiếu chính xác theo nguồn gốc xuất xứ.</t>
        </is>
      </c>
      <c r="T62" s="9" t="inlineStr">
        <is>
          <t>Partially verified - batch 1</t>
        </is>
      </c>
      <c r="U62" s="9" t="inlineStr">
        <is>
          <t>Aomori (Nhật): Fuji nổi bật từ khoảng tháng 11; xuất khẩu táo Aomori bắt đầu từ tháng 10 và bảo quản lạnh giúp kéo dài chất lượng qua đầu năm.</t>
        </is>
      </c>
      <c r="V62" s="9">
        <f>COUNTIF('Seasonality Evidence'!B:B,A62)</f>
        <v/>
      </c>
      <c r="W62" s="9">
        <f>COUNTIF('Seasonality Evidence'!B:B,A62)</f>
        <v/>
      </c>
      <c r="X62" s="9">
        <f>COUNTIF('Research Evidence'!B:B,A62)</f>
        <v/>
      </c>
      <c r="Y62" s="9" t="inlineStr">
        <is>
          <t>Japan</t>
        </is>
      </c>
      <c r="Z62" s="9" t="inlineStr">
        <is>
          <t>Aomori Prefecture</t>
        </is>
      </c>
      <c r="AA62" s="9" t="inlineStr">
        <is>
          <t>Imported</t>
        </is>
      </c>
      <c r="AB62" s="9" t="n"/>
      <c r="AC62" s="9" t="inlineStr">
        <is>
          <t>Strict temperature control; quality can extend beyond New Year in storage.</t>
        </is>
      </c>
      <c r="AD62" s="9" t="inlineStr">
        <is>
          <t>Juicy, fragrant, sweet</t>
        </is>
      </c>
      <c r="AE62" s="9" t="inlineStr">
        <is>
          <t>Crisp / juicy</t>
        </is>
      </c>
      <c r="AF62" s="9" t="n"/>
      <c r="AG62" s="9" t="inlineStr">
        <is>
          <t>https://j-fec.com/en/producer/pdf/en/20/</t>
        </is>
      </c>
      <c r="AH62" s="9" t="inlineStr"/>
      <c r="AI62" s="9" t="inlineStr">
        <is>
          <t>2026-04-24 14:43:30 ICT</t>
        </is>
      </c>
      <c r="AJ62" s="9" t="inlineStr">
        <is>
          <t>Tháng kết thúc đang suy từ note bảo quản qua đầu năm; chưa có closing month Fuji thật sự rõ trong nguồn chính.</t>
        </is>
      </c>
      <c r="AK62" s="9" t="n"/>
    </row>
    <row r="63">
      <c r="A63" s="9" t="n">
        <v>62</v>
      </c>
      <c r="B63" s="9" t="inlineStr">
        <is>
          <t>Trái cây</t>
        </is>
      </c>
      <c r="C63" s="9" t="inlineStr">
        <is>
          <t>Cam Cara ruột đỏ</t>
        </is>
      </c>
      <c r="D63" s="9" t="inlineStr">
        <is>
          <t>FRUIT-CCR-062</t>
        </is>
      </c>
      <c r="E63" s="9" t="inlineStr">
        <is>
          <t>Úc</t>
        </is>
      </c>
      <c r="F63" s="9" t="inlineStr">
        <is>
          <t>GlobalGAP</t>
        </is>
      </c>
      <c r="G63" s="9" t="inlineStr">
        <is>
          <t>Nơi khô thoáng 1-2 tuần.</t>
        </is>
      </c>
      <c r="H63" s="9" t="inlineStr">
        <is>
          <t>1kg (3-4 trái)</t>
        </is>
      </c>
      <c r="I63" s="9" t="n"/>
      <c r="J63" s="9" t="inlineStr">
        <is>
          <t>Giàu vitamin C, lycopene... Ruột đỏ tươi, ngọt thanh, ít hạt.</t>
        </is>
      </c>
      <c r="K63" s="9" t="inlineStr">
        <is>
          <t>Ngọt thanh</t>
        </is>
      </c>
      <c r="L63" s="9" t="inlineStr">
        <is>
          <t>Tươi</t>
        </is>
      </c>
      <c r="M63" s="9" t="inlineStr">
        <is>
          <t>Đa dụng</t>
        </is>
      </c>
      <c r="N63" s="9" t="inlineStr">
        <is>
          <t>Nước ngoài / cần kiểm tra</t>
        </is>
      </c>
      <c r="O63" s="9" t="inlineStr">
        <is>
          <t>Origin|Standard|Preservation|Weight|Attributes|Seasonality heuristic</t>
        </is>
      </c>
      <c r="P63" s="9" t="inlineStr">
        <is>
          <t>Origin; Season window; Standard/cert; Preservation guidance; Flavor/Texture/Usage</t>
        </is>
      </c>
      <c r="Q63" s="9" t="inlineStr">
        <is>
          <t>Cao</t>
        </is>
      </c>
      <c r="R63" s="9" t="inlineStr">
        <is>
          <t>B1</t>
        </is>
      </c>
      <c r="S63" s="9" t="inlineStr">
        <is>
          <t>Trái cây nhập khẩu hoặc ngoại nguồn, cần đối chiếu chính xác theo nguồn gốc xuất xứ.</t>
        </is>
      </c>
      <c r="T63" s="9" t="inlineStr">
        <is>
          <t>Partially verified - batch 1</t>
        </is>
      </c>
      <c r="U63" s="9" t="inlineStr">
        <is>
          <t>Australia: nhóm navel vào mùa tháng 6-10; Cara Cara được mô tả là giống early-to-mid-season trong nhóm navel.</t>
        </is>
      </c>
      <c r="V63" s="9">
        <f>COUNTIF('Seasonality Evidence'!B:B,A63)</f>
        <v/>
      </c>
      <c r="W63" s="9">
        <f>COUNTIF('Seasonality Evidence'!B:B,A63)</f>
        <v/>
      </c>
      <c r="X63" s="9">
        <f>COUNTIF('Research Evidence'!B:B,A63)</f>
        <v/>
      </c>
      <c r="Y63" s="9" t="inlineStr">
        <is>
          <t>Australia</t>
        </is>
      </c>
      <c r="Z63" s="9" t="inlineStr">
        <is>
          <t>Murray Valley / Riverina / Riverland</t>
        </is>
      </c>
      <c r="AA63" s="9" t="inlineStr">
        <is>
          <t>Imported</t>
        </is>
      </c>
      <c r="AB63" s="9" t="n"/>
      <c r="AC63" s="9" t="n"/>
      <c r="AD63" s="9" t="inlineStr">
        <is>
          <t>Sweet, red-fleshed</t>
        </is>
      </c>
      <c r="AE63" s="9" t="inlineStr">
        <is>
          <t>Juicy / low-seed</t>
        </is>
      </c>
      <c r="AF63" s="9" t="n"/>
      <c r="AG63" s="9" t="inlineStr">
        <is>
          <t>https://citrusaustralia.com.au/buying-australian/season/</t>
        </is>
      </c>
      <c r="AH63" s="9" t="inlineStr">
        <is>
          <t>https://agriculture.vic.gov.au/__data/assets/pdf_file/0010/629902/Citrus-Traceability-Pilot.pdf</t>
        </is>
      </c>
      <c r="AI63" s="9" t="inlineStr">
        <is>
          <t>2026-04-24 14:43:30 ICT</t>
        </is>
      </c>
      <c r="AJ63" s="9" t="inlineStr">
        <is>
          <t>Khung tháng Cara Cara đang suy trong cửa sổ navel June-October vì chưa có lịch Cara Cara Australia theo tháng từ nguồn chính thống mạnh hơn.</t>
        </is>
      </c>
      <c r="AK63" s="9" t="n"/>
    </row>
    <row r="64">
      <c r="A64" s="9" t="n">
        <v>63</v>
      </c>
      <c r="B64" s="9" t="inlineStr">
        <is>
          <t>Trái cây</t>
        </is>
      </c>
      <c r="C64" s="9" t="inlineStr">
        <is>
          <t>Nho Mỹ không hạt</t>
        </is>
      </c>
      <c r="D64" s="9" t="inlineStr">
        <is>
          <t>FRUIT-NMK-063</t>
        </is>
      </c>
      <c r="E64" s="9" t="inlineStr">
        <is>
          <t>Mỹ</t>
        </is>
      </c>
      <c r="F64" s="9" t="inlineStr">
        <is>
          <t>USDA Organic</t>
        </is>
      </c>
      <c r="G64" s="9" t="inlineStr">
        <is>
          <t>Ngăn mát tủ lạnh 1 tuần.</t>
        </is>
      </c>
      <c r="H64" s="9" t="inlineStr">
        <is>
          <t>500g</t>
        </is>
      </c>
      <c r="I64" s="9" t="n"/>
      <c r="J64" s="9" t="inlineStr">
        <is>
          <t>Giàu chất chống oxy hóa, vitamin K... Quả to, ngọt, không hạt.</t>
        </is>
      </c>
      <c r="K64" s="9" t="inlineStr">
        <is>
          <t>Ngọt</t>
        </is>
      </c>
      <c r="L64" s="9" t="inlineStr">
        <is>
          <t>Giòn</t>
        </is>
      </c>
      <c r="M64" s="9" t="inlineStr">
        <is>
          <t>Salad / ăn sống</t>
        </is>
      </c>
      <c r="N64" s="9" t="inlineStr">
        <is>
          <t>Nước ngoài / cần kiểm tra</t>
        </is>
      </c>
      <c r="O64" s="9" t="inlineStr">
        <is>
          <t>Origin|Standard|Preservation|Weight|Attributes|Seasonality heuristic</t>
        </is>
      </c>
      <c r="P64" s="9" t="inlineStr">
        <is>
          <t>Origin; Season window; Standard/cert; Preservation guidance; Flavor/Texture/Usage</t>
        </is>
      </c>
      <c r="Q64" s="9" t="inlineStr">
        <is>
          <t>Cao</t>
        </is>
      </c>
      <c r="R64" s="9" t="inlineStr">
        <is>
          <t>B1</t>
        </is>
      </c>
      <c r="S64" s="9" t="inlineStr">
        <is>
          <t>Trái cây nhập khẩu hoặc ngoại nguồn, cần đối chiếu chính xác theo nguồn gốc xuất xứ.</t>
        </is>
      </c>
      <c r="T64" s="9" t="inlineStr">
        <is>
          <t>Partially verified - batch 1</t>
        </is>
      </c>
      <c r="U64" s="9" t="inlineStr">
        <is>
          <t>California, Mỹ: Coachella Valley từ tháng 5 đến đầu tháng 7; San Joaquin Valley từ đầu tháng 7 đến tháng 12; nho California có mặt trên thị trường từ tháng 5 đến tháng 1.</t>
        </is>
      </c>
      <c r="V64" s="9">
        <f>COUNTIF('Seasonality Evidence'!B:B,A64)</f>
        <v/>
      </c>
      <c r="W64" s="9">
        <f>COUNTIF('Seasonality Evidence'!B:B,A64)</f>
        <v/>
      </c>
      <c r="X64" s="9">
        <f>COUNTIF('Research Evidence'!B:B,A64)</f>
        <v/>
      </c>
      <c r="Y64" s="9" t="inlineStr">
        <is>
          <t>United States</t>
        </is>
      </c>
      <c r="Z64" s="9" t="inlineStr">
        <is>
          <t>California - Coachella Valley / San Joaquin Valley</t>
        </is>
      </c>
      <c r="AA64" s="9" t="inlineStr">
        <is>
          <t>Imported</t>
        </is>
      </c>
      <c r="AB64" s="9" t="n"/>
      <c r="AC64" s="9" t="n"/>
      <c r="AD64" s="9" t="n"/>
      <c r="AE64" s="9" t="n"/>
      <c r="AF64" s="9" t="n"/>
      <c r="AG64" s="9" t="inlineStr">
        <is>
          <t>https://www.grapesfromcalifornia.com/wp-content/uploads/2023/06/20230605-grapes-from-california-merchandising-and-training-guide-2023.pdf</t>
        </is>
      </c>
      <c r="AH64" s="9" t="inlineStr"/>
      <c r="AI64" s="9" t="inlineStr">
        <is>
          <t>2026-04-24 14:43:30 ICT</t>
        </is>
      </c>
      <c r="AJ64" s="9" t="inlineStr"/>
      <c r="AK64" s="9" t="n"/>
    </row>
    <row r="65">
      <c r="A65" s="9" t="n">
        <v>64</v>
      </c>
      <c r="B65" s="9" t="inlineStr">
        <is>
          <t>Trái cây</t>
        </is>
      </c>
      <c r="C65" s="9" t="inlineStr">
        <is>
          <t>Xoài cát Hòa Lộc</t>
        </is>
      </c>
      <c r="D65" s="9" t="inlineStr">
        <is>
          <t>FRUIT-XCH-064</t>
        </is>
      </c>
      <c r="E65" s="9" t="inlineStr">
        <is>
          <t>Tiền Giang, Việt Nam</t>
        </is>
      </c>
      <c r="F65" s="9" t="inlineStr">
        <is>
          <t>VietGAP</t>
        </is>
      </c>
      <c r="G65" s="9" t="inlineStr">
        <is>
          <t>Nơi khô mát 5-7 ngày.</t>
        </is>
      </c>
      <c r="H65" s="9" t="inlineStr">
        <is>
          <t>1kg (2-3 trái)</t>
        </is>
      </c>
      <c r="I65" s="9" t="n"/>
      <c r="J65" s="9" t="inlineStr">
        <is>
          <t>Giàu vitamin A, C... Thịt vàng óng, ngọt đậm, thơm nức.</t>
        </is>
      </c>
      <c r="K65" s="9" t="inlineStr">
        <is>
          <t>Ngọt</t>
        </is>
      </c>
      <c r="L65" s="9" t="inlineStr">
        <is>
          <t>Tươi</t>
        </is>
      </c>
      <c r="M65" s="9" t="inlineStr">
        <is>
          <t>Đa dụng</t>
        </is>
      </c>
      <c r="N65" s="9" t="inlineStr">
        <is>
          <t>Nội địa</t>
        </is>
      </c>
      <c r="O65" s="9" t="inlineStr">
        <is>
          <t>Origin|Standard|Preservation|Weight|Attributes|Seasonality heuristic</t>
        </is>
      </c>
      <c r="P65" s="9" t="inlineStr">
        <is>
          <t>Origin; Season window; Standard/cert; Preservation guidance; Flavor/Texture/Usage</t>
        </is>
      </c>
      <c r="Q65" s="9" t="inlineStr">
        <is>
          <t>Trung bình</t>
        </is>
      </c>
      <c r="R65" s="9" t="inlineStr">
        <is>
          <t>B3</t>
        </is>
      </c>
      <c r="S65" s="9" t="inlineStr">
        <is>
          <t>Trái cây nội địa và đặc sản vùng miền, ưu tiên peak season + khác biệt theo tỉnh/vùng.</t>
        </is>
      </c>
      <c r="T65" s="9" t="inlineStr">
        <is>
          <t>Partially verified - batch 3</t>
        </is>
      </c>
      <c r="U65" s="9" t="inlineStr">
        <is>
          <t>Tiền Giang (Cái Bè): mùa vụ GI truyền thống từ tháng 2-5; nguồn Bộ Công Thương ghi nhận hiện nay có thêm mùa vụ từ tháng 10-12.</t>
        </is>
      </c>
      <c r="V65" s="9">
        <f>COUNTIF('Seasonality Evidence'!B:B,A65)</f>
        <v/>
      </c>
      <c r="W65" s="9">
        <f>COUNTIF('Seasonality Evidence'!B:B,A65)</f>
        <v/>
      </c>
      <c r="X65" s="9">
        <f>COUNTIF('Research Evidence'!B:B,A65)</f>
        <v/>
      </c>
      <c r="Y65" s="9" t="inlineStr">
        <is>
          <t>Vietnam</t>
        </is>
      </c>
      <c r="Z65" s="9" t="inlineStr">
        <is>
          <t>Tiền Giang - Cái Bè</t>
        </is>
      </c>
      <c r="AA65" s="9" t="inlineStr">
        <is>
          <t>Domestic</t>
        </is>
      </c>
      <c r="AB65" s="9" t="inlineStr">
        <is>
          <t>GlobalGAP (context at vùng/nhóm sản phẩm; cần kiểm tra hiệu lực nếu dùng như claim bắt buộc cho từng lô)</t>
        </is>
      </c>
      <c r="AC65" s="9" t="n"/>
      <c r="AD65" s="9" t="inlineStr">
        <is>
          <t>Ngọt, thơm dịu</t>
        </is>
      </c>
      <c r="AE65" s="9" t="inlineStr">
        <is>
          <t>Dẻo, mịn, ít xơ</t>
        </is>
      </c>
      <c r="AF65" s="9" t="n"/>
      <c r="AG65" s="9" t="inlineStr">
        <is>
          <t>https://ipvietnam.gov.vn/documents/20195/811934/Ch%E1%BB%89%2Bd%E1%BA%ABn%2B%C4%91%E1%BB%8Ba%2Bl%C3%BD%2B%E2%80%93%2BDi%2Bs%E1%BA%A3n%2Bthi%C3%AAn%2Bnhi%C3%AAn%2Bv%C4%83n%2Bh%C3%B3a%2BVi%E1%BB%87t%2B%28ti%E1%BA%BFng%2BVi%E1%BB%87t%29.pdf/a56b0cb4-d8bd-475a-be64-bba40329fb9f</t>
        </is>
      </c>
      <c r="AH65" s="9" t="inlineStr">
        <is>
          <t>https://moit.gov.vn/tu-hao-hang-viet-nam/gioi-thieu-xoai-cat-hoa-loc.html</t>
        </is>
      </c>
      <c r="AI65" s="9" t="inlineStr">
        <is>
          <t>2026-04-24 14:48:34 ICT</t>
        </is>
      </c>
      <c r="AJ65" s="9" t="inlineStr">
        <is>
          <t>Khung 10-12 là mùa vụ tăng thêm theo nguồn Bộ Công Thương; nếu cần áp vào rule máy nên tách rõ `mùa truyền thống` và `mùa mở rộng/rải vụ`.</t>
        </is>
      </c>
      <c r="AK65" s="9" t="n"/>
    </row>
    <row r="66">
      <c r="A66" s="9" t="n">
        <v>65</v>
      </c>
      <c r="B66" s="9" t="inlineStr">
        <is>
          <t>Trái cây</t>
        </is>
      </c>
      <c r="C66" s="9" t="inlineStr">
        <is>
          <t>Dưa hấu không hạt</t>
        </is>
      </c>
      <c r="D66" s="9" t="inlineStr">
        <is>
          <t>FRUIT-DHK-065</t>
        </is>
      </c>
      <c r="E66" s="9" t="inlineStr">
        <is>
          <t>Long An, Việt Nam</t>
        </is>
      </c>
      <c r="F66" s="9" t="inlineStr">
        <is>
          <t>VietGAP</t>
        </is>
      </c>
      <c r="G66" s="9" t="inlineStr">
        <is>
          <t>Nơi khô mát 1 tuần, cắt rồi để ngăn mát 2-3 ngày.</t>
        </is>
      </c>
      <c r="H66" s="9" t="inlineStr">
        <is>
          <t>2-3kg (1 trái)</t>
        </is>
      </c>
      <c r="I66" s="9" t="n"/>
      <c r="J66" s="9" t="inlineStr">
        <is>
          <t>Giàu nước, lycopene... Ruột đỏ tươi, ngọt mát, không hạt.</t>
        </is>
      </c>
      <c r="K66" s="9" t="inlineStr">
        <is>
          <t>Ngọt</t>
        </is>
      </c>
      <c r="L66" s="9" t="inlineStr">
        <is>
          <t>Tươi</t>
        </is>
      </c>
      <c r="M66" s="9" t="inlineStr">
        <is>
          <t>Đa dụng</t>
        </is>
      </c>
      <c r="N66" s="9" t="inlineStr">
        <is>
          <t>Nội địa</t>
        </is>
      </c>
      <c r="O66" s="9" t="inlineStr">
        <is>
          <t>Origin|Standard|Preservation|Weight|Attributes|Seasonality heuristic</t>
        </is>
      </c>
      <c r="P66" s="9" t="inlineStr">
        <is>
          <t>Origin; Season window; Standard/cert; Preservation guidance; Flavor/Texture/Usage</t>
        </is>
      </c>
      <c r="Q66" s="9" t="inlineStr">
        <is>
          <t>Trung bình</t>
        </is>
      </c>
      <c r="R66" s="9" t="inlineStr">
        <is>
          <t>B3</t>
        </is>
      </c>
      <c r="S66" s="9" t="inlineStr">
        <is>
          <t>Trái cây nội địa và đặc sản vùng miền, ưu tiên peak season + khác biệt theo tỉnh/vùng.</t>
        </is>
      </c>
      <c r="T66" s="9" t="inlineStr">
        <is>
          <t>Partially verified - batch 3</t>
        </is>
      </c>
      <c r="U66" s="9" t="inlineStr">
        <is>
          <t>Long An: có vụ dưa hấu Tết tại Vĩnh Hưng, dự kiến thu hoạch giữa tháng Chạp; chưa có nguồn tách riêng dưa không hạt.</t>
        </is>
      </c>
      <c r="V66" s="9">
        <f>COUNTIF('Seasonality Evidence'!B:B,A66)</f>
        <v/>
      </c>
      <c r="W66" s="9">
        <f>COUNTIF('Seasonality Evidence'!B:B,A66)</f>
        <v/>
      </c>
      <c r="X66" s="9">
        <f>COUNTIF('Research Evidence'!B:B,A66)</f>
        <v/>
      </c>
      <c r="Y66" s="9" t="inlineStr">
        <is>
          <t>Vietnam</t>
        </is>
      </c>
      <c r="Z66" s="9" t="inlineStr">
        <is>
          <t>Long An - Vĩnh Hưng/Tân Trụ/Long Trì context</t>
        </is>
      </c>
      <c r="AA66" s="9" t="inlineStr">
        <is>
          <t>Domestic</t>
        </is>
      </c>
      <c r="AB66" s="9" t="n"/>
      <c r="AC66" s="9" t="n"/>
      <c r="AD66" s="9" t="n"/>
      <c r="AE66" s="9" t="n"/>
      <c r="AF66" s="9" t="n"/>
      <c r="AG66" s="9" t="inlineStr">
        <is>
          <t>https://baolongan.vn/vinh-hung-nong-dan-gieo-trong-hon-250ha-dua-hau-phuc-vu-thi-truong-tet-a186458.html</t>
        </is>
      </c>
      <c r="AH66" s="9" t="inlineStr">
        <is>
          <t>https://baolongan.vn/goc-anh-long-an-que-huong-toi-dua-hau-long-an-a180898.html</t>
        </is>
      </c>
      <c r="AI66" s="9" t="inlineStr">
        <is>
          <t>2026-04-24 21:05:08 ICT</t>
        </is>
      </c>
      <c r="AJ66" s="9" t="inlineStr">
        <is>
          <t>Nguồn xác nhận dưa hấu Long An/vụ Tết nhưng chưa tách riêng giống không hạt.</t>
        </is>
      </c>
      <c r="AK66" s="9" t="n"/>
    </row>
    <row r="67">
      <c r="A67" s="9" t="n">
        <v>66</v>
      </c>
      <c r="B67" s="9" t="inlineStr">
        <is>
          <t>Trái cây</t>
        </is>
      </c>
      <c r="C67" s="9" t="inlineStr">
        <is>
          <t>Bơ Booth 7</t>
        </is>
      </c>
      <c r="D67" s="9" t="inlineStr">
        <is>
          <t>FRUIT-BB7-066</t>
        </is>
      </c>
      <c r="E67" s="9" t="inlineStr">
        <is>
          <t>Đắk Lắk, Việt Nam</t>
        </is>
      </c>
      <c r="F67" s="9" t="inlineStr">
        <is>
          <t>GlobalGAP</t>
        </is>
      </c>
      <c r="G67" s="9" t="inlineStr">
        <is>
          <t>Nơi khô mát đến khi chín, sau đó ngăn mát 3-5 ngày.</t>
        </is>
      </c>
      <c r="H67" s="9" t="inlineStr">
        <is>
          <t>500g (2-3 trái)</t>
        </is>
      </c>
      <c r="I67" s="9" t="n"/>
      <c r="J67" s="9" t="inlineStr">
        <is>
          <t>Giàu chất béo tốt, vitamin E... Thịt béo mịn, vị bùi thơm.</t>
        </is>
      </c>
      <c r="K67" s="9" t="inlineStr">
        <is>
          <t>Bùi</t>
        </is>
      </c>
      <c r="L67" s="9" t="inlineStr">
        <is>
          <t>Tươi</t>
        </is>
      </c>
      <c r="M67" s="9" t="inlineStr">
        <is>
          <t>Salad / ăn sống</t>
        </is>
      </c>
      <c r="N67" s="9" t="inlineStr">
        <is>
          <t>Nội địa</t>
        </is>
      </c>
      <c r="O67" s="9" t="inlineStr">
        <is>
          <t>Origin|Standard|Preservation|Weight|Attributes|Seasonality heuristic</t>
        </is>
      </c>
      <c r="P67" s="9" t="inlineStr">
        <is>
          <t>Origin; Season window; Standard/cert; Preservation guidance; Flavor/Texture/Usage</t>
        </is>
      </c>
      <c r="Q67" s="9" t="inlineStr">
        <is>
          <t>Trung bình</t>
        </is>
      </c>
      <c r="R67" s="9" t="inlineStr">
        <is>
          <t>B3</t>
        </is>
      </c>
      <c r="S67" s="9" t="inlineStr">
        <is>
          <t>Trái cây nội địa và đặc sản vùng miền, ưu tiên peak season + khác biệt theo tỉnh/vùng.</t>
        </is>
      </c>
      <c r="T67" s="9" t="inlineStr">
        <is>
          <t>Partially verified - batch 3</t>
        </is>
      </c>
      <c r="U67" s="9" t="inlineStr">
        <is>
          <t>Đắk Lắk: bơ có chính vụ tháng 4-7 và vụ muộn tháng 9-11; nguồn nêu Booth 7 là một giống phổ biến.</t>
        </is>
      </c>
      <c r="V67" s="9">
        <f>COUNTIF('Seasonality Evidence'!B:B,A67)</f>
        <v/>
      </c>
      <c r="W67" s="9">
        <f>COUNTIF('Seasonality Evidence'!B:B,A67)</f>
        <v/>
      </c>
      <c r="X67" s="9">
        <f>COUNTIF('Research Evidence'!B:B,A67)</f>
        <v/>
      </c>
      <c r="Y67" s="9" t="inlineStr">
        <is>
          <t>Vietnam</t>
        </is>
      </c>
      <c r="Z67" s="9" t="inlineStr">
        <is>
          <t>Đắk Lắk</t>
        </is>
      </c>
      <c r="AA67" s="9" t="inlineStr">
        <is>
          <t>Domestic</t>
        </is>
      </c>
      <c r="AB67" s="9" t="n"/>
      <c r="AC67" s="9" t="n"/>
      <c r="AD67" s="9" t="n"/>
      <c r="AE67" s="9" t="n"/>
      <c r="AF67" s="9" t="n"/>
      <c r="AG67" s="9" t="inlineStr">
        <is>
          <t>https://socongthuong.daklak.gov.vn/vi/news/hoat-dong-nganh-cong-thuong/bo-dak-lak-hanh-trinh-den-voi-nguoi-tieu-dung-3497.html</t>
        </is>
      </c>
      <c r="AH67" s="9" t="inlineStr">
        <is>
          <t>https://khuyennongvn.gov.vn/guong-san-xuat-gioi/kinh-nghiem-su-dung-dam-ca-trong-canh-tac-bo-cua-mot-nong-dan-dak-nong-22533.html</t>
        </is>
      </c>
      <c r="AI67" s="9" t="inlineStr">
        <is>
          <t>2026-04-24 21:05:08 ICT</t>
        </is>
      </c>
      <c r="AJ67" s="9" t="inlineStr">
        <is>
          <t>Mùa vụ là cho bơ Đắk Lắk nói chung; chưa có lịch Booth 7 riêng theo từng huyện.</t>
        </is>
      </c>
      <c r="AK67" s="9" t="n"/>
    </row>
    <row r="68">
      <c r="A68" s="9" t="n">
        <v>67</v>
      </c>
      <c r="B68" s="9" t="inlineStr">
        <is>
          <t>Trái cây</t>
        </is>
      </c>
      <c r="C68" s="9" t="inlineStr">
        <is>
          <t>Dâu tây Đà Lạt</t>
        </is>
      </c>
      <c r="D68" s="9" t="inlineStr">
        <is>
          <t>FRUIT-DTD-067</t>
        </is>
      </c>
      <c r="E68" s="9" t="inlineStr">
        <is>
          <t>Đà Lạt, Việt Nam</t>
        </is>
      </c>
      <c r="F68" s="9" t="inlineStr">
        <is>
          <t>VietGAP</t>
        </is>
      </c>
      <c r="G68" s="9" t="inlineStr">
        <is>
          <t>Ngăn mát tủ lạnh 3-5 ngày.</t>
        </is>
      </c>
      <c r="H68" s="9" t="inlineStr">
        <is>
          <t>500g</t>
        </is>
      </c>
      <c r="I68" s="9" t="n"/>
      <c r="J68" s="9" t="inlineStr">
        <is>
          <t>Giàu vitamin C, chất chống oxy hóa... Quả đỏ tươi, ngọt chua.</t>
        </is>
      </c>
      <c r="K68" s="9" t="inlineStr">
        <is>
          <t>Ngọt</t>
        </is>
      </c>
      <c r="L68" s="9" t="inlineStr">
        <is>
          <t>Tươi</t>
        </is>
      </c>
      <c r="M68" s="9" t="inlineStr">
        <is>
          <t>Đa dụng</t>
        </is>
      </c>
      <c r="N68" s="9" t="inlineStr">
        <is>
          <t>Nội địa</t>
        </is>
      </c>
      <c r="O68" s="9" t="inlineStr">
        <is>
          <t>Origin|Standard|Preservation|Weight|Attributes|Seasonality heuristic</t>
        </is>
      </c>
      <c r="P68" s="9" t="inlineStr">
        <is>
          <t>Origin; Season window; Standard/cert; Preservation guidance; Flavor/Texture/Usage</t>
        </is>
      </c>
      <c r="Q68" s="9" t="inlineStr">
        <is>
          <t>Trung bình</t>
        </is>
      </c>
      <c r="R68" s="9" t="inlineStr">
        <is>
          <t>B3</t>
        </is>
      </c>
      <c r="S68" s="9" t="inlineStr">
        <is>
          <t>Trái cây nội địa và đặc sản vùng miền, ưu tiên peak season + khác biệt theo tỉnh/vùng.</t>
        </is>
      </c>
      <c r="T68" s="9" t="inlineStr">
        <is>
          <t>Partially verified - batch 3</t>
        </is>
      </c>
      <c r="U68" s="9" t="inlineStr">
        <is>
          <t>Đà Lạt/Lạc Dương: dâu tây công nghệ cao thu theo lứa, sau khoảng 4 tháng xuống giống có thể thu liên tục khoảng 6 tháng; mùa mưa làm giảm sản lượng so với mùa nắng.</t>
        </is>
      </c>
      <c r="V68" s="9">
        <f>COUNTIF('Seasonality Evidence'!B:B,A68)</f>
        <v/>
      </c>
      <c r="W68" s="9">
        <f>COUNTIF('Seasonality Evidence'!B:B,A68)</f>
        <v/>
      </c>
      <c r="X68" s="9">
        <f>COUNTIF('Research Evidence'!B:B,A68)</f>
        <v/>
      </c>
      <c r="Y68" s="9" t="inlineStr">
        <is>
          <t>Vietnam</t>
        </is>
      </c>
      <c r="Z68" s="9" t="inlineStr">
        <is>
          <t>Lâm Đồng - Đà Lạt/Lạc Dương</t>
        </is>
      </c>
      <c r="AA68" s="9" t="inlineStr">
        <is>
          <t>Domestic</t>
        </is>
      </c>
      <c r="AB68" s="9" t="n"/>
      <c r="AC68" s="9" t="inlineStr">
        <is>
          <t>Bảo quản và vận chuyển lạnh sau thu hoạch.</t>
        </is>
      </c>
      <c r="AD68" s="9" t="inlineStr">
        <is>
          <t>Ngọt thơm, tùy giống</t>
        </is>
      </c>
      <c r="AE68" s="9" t="inlineStr">
        <is>
          <t>Mềm/giòn tùy giống</t>
        </is>
      </c>
      <c r="AF68" s="9" t="n"/>
      <c r="AG68" s="9" t="inlineStr">
        <is>
          <t>https://thitranlacduong.lamdong.gov.vn/chi-tiet-tin-tuc/?param=khao-nghiem-2-giong-dau-tay-moi-o-da-lat</t>
        </is>
      </c>
      <c r="AH68" s="9" t="inlineStr">
        <is>
          <t>https://khuyennong.lamdong.gov.vn/ky-thuat-trong-trot/ki-thuat-trong-rau/865-quy-trinh-k-thut-trng-cay-dau-tay</t>
        </is>
      </c>
      <c r="AI68" s="9" t="inlineStr">
        <is>
          <t>2026-04-24 21:05:08 ICT</t>
        </is>
      </c>
      <c r="AJ68" s="9" t="inlineStr">
        <is>
          <t>Không nên quy về tháng cố định nếu không biết ngày xuống giống/giống/nhà kính; flavor phụ thuộc giống.</t>
        </is>
      </c>
      <c r="AK68" s="9" t="n"/>
    </row>
    <row r="69">
      <c r="A69" s="9" t="n">
        <v>68</v>
      </c>
      <c r="B69" s="9" t="inlineStr">
        <is>
          <t>Trái cây</t>
        </is>
      </c>
      <c r="C69" s="9" t="inlineStr">
        <is>
          <t>Chuối già Nam Mỹ</t>
        </is>
      </c>
      <c r="D69" s="9" t="inlineStr">
        <is>
          <t>FRUIT-CGN-068</t>
        </is>
      </c>
      <c r="E69" s="9" t="inlineStr">
        <is>
          <t>Nam Mỹ</t>
        </is>
      </c>
      <c r="F69" s="9" t="inlineStr">
        <is>
          <t>GlobalGAP</t>
        </is>
      </c>
      <c r="G69" s="9" t="inlineStr">
        <is>
          <t>Nơi khô thoáng 5-7 ngày.</t>
        </is>
      </c>
      <c r="H69" s="9" t="inlineStr">
        <is>
          <t>1kg (4-5 trái)</t>
        </is>
      </c>
      <c r="I69" s="9" t="n"/>
      <c r="J69" s="9" t="inlineStr">
        <is>
          <t>Giàu kali, vitamin B6... Quả vàng, ngọt thơm, dẻo.</t>
        </is>
      </c>
      <c r="K69" s="9" t="inlineStr">
        <is>
          <t>Ngọt</t>
        </is>
      </c>
      <c r="L69" s="9" t="inlineStr">
        <is>
          <t>Tươi</t>
        </is>
      </c>
      <c r="M69" s="9" t="inlineStr">
        <is>
          <t>Đa dụng</t>
        </is>
      </c>
      <c r="N69" s="9" t="inlineStr">
        <is>
          <t>Nước ngoài / cần kiểm tra</t>
        </is>
      </c>
      <c r="O69" s="9" t="inlineStr">
        <is>
          <t>Origin|Standard|Preservation|Weight|Attributes|Seasonality heuristic</t>
        </is>
      </c>
      <c r="P69" s="9" t="inlineStr">
        <is>
          <t>Origin; Season window; Standard/cert; Preservation guidance; Flavor/Texture/Usage</t>
        </is>
      </c>
      <c r="Q69" s="9" t="inlineStr">
        <is>
          <t>Cao</t>
        </is>
      </c>
      <c r="R69" s="9" t="inlineStr">
        <is>
          <t>B1</t>
        </is>
      </c>
      <c r="S69" s="9" t="inlineStr">
        <is>
          <t>Trái cây nhập khẩu hoặc ngoại nguồn, cần đối chiếu chính xác theo nguồn gốc xuất xứ.</t>
        </is>
      </c>
      <c r="T69" s="9" t="inlineStr">
        <is>
          <t>Partially verified - batch 1</t>
        </is>
      </c>
      <c r="U69" s="9" t="inlineStr">
        <is>
          <t>Chuối vùng nhiệt đới Nam Mỹ có đặc tính thu hoạch quanh năm; tuy vậy SKU hiện chỉ ghi Nam Mỹ nên chưa xác nhận được quốc gia/vùng trồng cụ thể.</t>
        </is>
      </c>
      <c r="V69" s="9">
        <f>COUNTIF('Seasonality Evidence'!B:B,A69)</f>
        <v/>
      </c>
      <c r="W69" s="9">
        <f>COUNTIF('Seasonality Evidence'!B:B,A69)</f>
        <v/>
      </c>
      <c r="X69" s="9">
        <f>COUNTIF('Research Evidence'!B:B,A69)</f>
        <v/>
      </c>
      <c r="Y69" s="9" t="n"/>
      <c r="Z69" s="9" t="n"/>
      <c r="AA69" s="9" t="inlineStr">
        <is>
          <t>Imported</t>
        </is>
      </c>
      <c r="AB69" s="9" t="n"/>
      <c r="AC69" s="9" t="n"/>
      <c r="AD69" s="9" t="n"/>
      <c r="AE69" s="9" t="n"/>
      <c r="AF69" s="9" t="n"/>
      <c r="AG69" s="9" t="inlineStr">
        <is>
          <t>https://www.fao.org/3/y5102e/y5102e04.htm</t>
        </is>
      </c>
      <c r="AH69" s="9" t="inlineStr">
        <is>
          <t>https://sipa.agricultura.gob.ec/boletines/situacionales/2023/boletin_situacional_banano_2023.pdf</t>
        </is>
      </c>
      <c r="AI69" s="9" t="inlineStr">
        <is>
          <t>2026-04-24 14:48:34 ICT</t>
        </is>
      </c>
      <c r="AJ69" s="9" t="inlineStr">
        <is>
          <t>Chưa thể chốt country/province vì catalog mới ghi Nam Mỹ; dữ liệu vùng Ecuador chỉ mang tính bối cảnh nếu sau này xác nhận được nguồn hàng.</t>
        </is>
      </c>
      <c r="AK69" s="9" t="n"/>
    </row>
    <row r="70">
      <c r="A70" s="9" t="n">
        <v>69</v>
      </c>
      <c r="B70" s="9" t="inlineStr">
        <is>
          <t>Trái cây</t>
        </is>
      </c>
      <c r="C70" s="9" t="inlineStr">
        <is>
          <t>Đu đủ vàng</t>
        </is>
      </c>
      <c r="D70" s="9" t="inlineStr">
        <is>
          <t>FRUIT-DDV-069</t>
        </is>
      </c>
      <c r="E70" s="9" t="inlineStr">
        <is>
          <t>Bình Phước, Việt Nam</t>
        </is>
      </c>
      <c r="F70" s="9" t="inlineStr">
        <is>
          <t>VietGAP</t>
        </is>
      </c>
      <c r="G70" s="9" t="inlineStr">
        <is>
          <t>Nơi khô mát 3-5 ngày, chín để ngăn mát.</t>
        </is>
      </c>
      <c r="H70" s="9" t="inlineStr">
        <is>
          <t>1.5kg (1 trái)</t>
        </is>
      </c>
      <c r="I70" s="9" t="n"/>
      <c r="J70" s="9" t="inlineStr">
        <is>
          <t>Giàu papain, vitamin A, C... Thịt vàng cam, ngọt mềm.</t>
        </is>
      </c>
      <c r="K70" s="9" t="inlineStr">
        <is>
          <t>Ngọt</t>
        </is>
      </c>
      <c r="L70" s="9" t="inlineStr">
        <is>
          <t>Mềm</t>
        </is>
      </c>
      <c r="M70" s="9" t="inlineStr">
        <is>
          <t>Đa dụng</t>
        </is>
      </c>
      <c r="N70" s="9" t="inlineStr">
        <is>
          <t>Nội địa</t>
        </is>
      </c>
      <c r="O70" s="9" t="inlineStr">
        <is>
          <t>Origin|Standard|Preservation|Weight|Attributes|Seasonality heuristic</t>
        </is>
      </c>
      <c r="P70" s="9" t="inlineStr">
        <is>
          <t>Origin; Season window; Standard/cert; Preservation guidance; Flavor/Texture/Usage</t>
        </is>
      </c>
      <c r="Q70" s="9" t="inlineStr">
        <is>
          <t>Trung bình</t>
        </is>
      </c>
      <c r="R70" s="9" t="inlineStr">
        <is>
          <t>B3</t>
        </is>
      </c>
      <c r="S70" s="9" t="inlineStr">
        <is>
          <t>Trái cây nội địa và đặc sản vùng miền, ưu tiên peak season + khác biệt theo tỉnh/vùng.</t>
        </is>
      </c>
      <c r="T70" s="9" t="inlineStr">
        <is>
          <t>Partially verified - batch 3</t>
        </is>
      </c>
      <c r="U70" s="9" t="inlineStr">
        <is>
          <t>Bình Phước: đu đủ nằm trong nhóm cây ăn trái hầu như cho thu hoạch quanh năm; chưa tách riêng giống đu đủ vàng.</t>
        </is>
      </c>
      <c r="V70" s="9">
        <f>COUNTIF('Seasonality Evidence'!B:B,A70)</f>
        <v/>
      </c>
      <c r="W70" s="9">
        <f>COUNTIF('Seasonality Evidence'!B:B,A70)</f>
        <v/>
      </c>
      <c r="X70" s="9">
        <f>COUNTIF('Research Evidence'!B:B,A70)</f>
        <v/>
      </c>
      <c r="Y70" s="9" t="inlineStr">
        <is>
          <t>Vietnam</t>
        </is>
      </c>
      <c r="Z70" s="9" t="inlineStr">
        <is>
          <t>Bình Phước</t>
        </is>
      </c>
      <c r="AA70" s="9" t="inlineStr">
        <is>
          <t>Domestic</t>
        </is>
      </c>
      <c r="AB70" s="9" t="n"/>
      <c r="AC70" s="9" t="n"/>
      <c r="AD70" s="9" t="n"/>
      <c r="AE70" s="9" t="n"/>
      <c r="AF70" s="9" t="n"/>
      <c r="AG70" s="9" t="inlineStr">
        <is>
          <t>https://binhphuoc.gov.vn/vi/news/Hoat-dong-huyen-thi/phuoc-co-nhieu-chung-loai-cay-an-trai-hau-nhu-cho-thu-hoach-quanh-nam-21193.html</t>
        </is>
      </c>
      <c r="AH70" s="9" t="inlineStr"/>
      <c r="AI70" s="9" t="inlineStr">
        <is>
          <t>2026-04-24 21:05:08 ICT</t>
        </is>
      </c>
      <c r="AJ70" s="9" t="inlineStr">
        <is>
          <t>Nguồn nói đu đủ trong nhóm cây ăn trái Bình Phước nói chung, chưa có lịch riêng cho giống đu đủ vàng.</t>
        </is>
      </c>
      <c r="AK70" s="9" t="n"/>
    </row>
    <row r="71">
      <c r="A71" s="9" t="n">
        <v>70</v>
      </c>
      <c r="B71" s="9" t="inlineStr">
        <is>
          <t>Trái cây</t>
        </is>
      </c>
      <c r="C71" s="9" t="inlineStr">
        <is>
          <t>Thanh long ruột đỏ</t>
        </is>
      </c>
      <c r="D71" s="9" t="inlineStr">
        <is>
          <t>FRUIT-TLR-070</t>
        </is>
      </c>
      <c r="E71" s="9" t="inlineStr">
        <is>
          <t>Bình Thuận, Việt Nam</t>
        </is>
      </c>
      <c r="F71" s="9" t="inlineStr">
        <is>
          <t>VietGAP</t>
        </is>
      </c>
      <c r="G71" s="9" t="inlineStr">
        <is>
          <t>Nơi khô mát 1-2 tuần, hoặc ngăn mát.</t>
        </is>
      </c>
      <c r="H71" s="9" t="inlineStr">
        <is>
          <t>1kg (2-3 trái)</t>
        </is>
      </c>
      <c r="I71" s="9" t="n"/>
      <c r="J71" s="9" t="inlineStr">
        <is>
          <t>Giàu vitamin C, chất xơ... Ruột đỏ tươi, ngọt nhẹ.</t>
        </is>
      </c>
      <c r="K71" s="9" t="inlineStr">
        <is>
          <t>Ngọt nhẹ</t>
        </is>
      </c>
      <c r="L71" s="9" t="inlineStr">
        <is>
          <t>Tươi</t>
        </is>
      </c>
      <c r="M71" s="9" t="inlineStr">
        <is>
          <t>Đa dụng</t>
        </is>
      </c>
      <c r="N71" s="9" t="inlineStr">
        <is>
          <t>Nội địa</t>
        </is>
      </c>
      <c r="O71" s="9" t="inlineStr">
        <is>
          <t>Origin|Standard|Preservation|Weight|Attributes|Seasonality heuristic</t>
        </is>
      </c>
      <c r="P71" s="9" t="inlineStr">
        <is>
          <t>Origin; Season window; Standard/cert; Preservation guidance; Flavor/Texture/Usage</t>
        </is>
      </c>
      <c r="Q71" s="9" t="inlineStr">
        <is>
          <t>Trung bình</t>
        </is>
      </c>
      <c r="R71" s="9" t="inlineStr">
        <is>
          <t>B3</t>
        </is>
      </c>
      <c r="S71" s="9" t="inlineStr">
        <is>
          <t>Trái cây nội địa và đặc sản vùng miền, ưu tiên peak season + khác biệt theo tỉnh/vùng.</t>
        </is>
      </c>
      <c r="T71" s="9" t="inlineStr">
        <is>
          <t>Partially verified - batch 3</t>
        </is>
      </c>
      <c r="U71" s="9" t="inlineStr">
        <is>
          <t>Bình Thuận: vùng GI gồm Hàm Tân, Hàm Thuận Nam, Hàm Thuận Bắc, Bắc Bình và Phan Thiết; vụ nghịch phục vụ cuối năm - Tết bắt đầu chong đèn từ tháng 10 âm lịch, thu hoạch từ tháng Chạp trở đi.</t>
        </is>
      </c>
      <c r="V71" s="9">
        <f>COUNTIF('Seasonality Evidence'!B:B,A71)</f>
        <v/>
      </c>
      <c r="W71" s="9">
        <f>COUNTIF('Seasonality Evidence'!B:B,A71)</f>
        <v/>
      </c>
      <c r="X71" s="9">
        <f>COUNTIF('Research Evidence'!B:B,A71)</f>
        <v/>
      </c>
      <c r="Y71" s="9" t="inlineStr">
        <is>
          <t>Vietnam</t>
        </is>
      </c>
      <c r="Z71" s="9" t="inlineStr">
        <is>
          <t>Bình Thuận - vùng GI thanh long</t>
        </is>
      </c>
      <c r="AA71" s="9" t="inlineStr">
        <is>
          <t>Domestic</t>
        </is>
      </c>
      <c r="AB71" s="9" t="n"/>
      <c r="AC71" s="9" t="n"/>
      <c r="AD71" s="9" t="n"/>
      <c r="AE71" s="9" t="n"/>
      <c r="AF71" s="9" t="n"/>
      <c r="AG71" s="9" t="inlineStr">
        <is>
          <t>https://ipvietnam.gov.vn/phat-trien-chi-dan-ia-ly/-/asset_publisher/SGA9PgvmYtWI/content/thanh-long-binh-thuan-duoc-bao-ho-cddl-tai-nhat-ban?inheritRedirect=false</t>
        </is>
      </c>
      <c r="AH71" s="9" t="inlineStr">
        <is>
          <t>https://snnptnt.binhthuan.gov.vn/tin-nong-nghiep/thanh-long-vao-vu-nghich-bai-1-nang-cao-chat-luong-dap-ung-thi-truong-867366</t>
        </is>
      </c>
      <c r="AI71" s="9" t="inlineStr">
        <is>
          <t>2026-04-24 14:48:34 ICT</t>
        </is>
      </c>
      <c r="AJ71" s="9" t="inlineStr">
        <is>
          <t>Nguồn hiện mới chắc ở mức thanh long Bình Thuận nói chung và vụ nghịch theo âm lịch; chưa có nguồn mạnh cùng lúc tách riêng cho biến thể ruột đỏ và cửa sổ vụ thuận theo tháng dương lịch.</t>
        </is>
      </c>
      <c r="AK71" s="9" t="n"/>
    </row>
    <row r="72">
      <c r="A72" s="9" t="n">
        <v>71</v>
      </c>
      <c r="B72" s="9" t="inlineStr">
        <is>
          <t>Trái cây</t>
        </is>
      </c>
      <c r="C72" s="9" t="inlineStr">
        <is>
          <t>Măng cụt</t>
        </is>
      </c>
      <c r="D72" s="9" t="inlineStr">
        <is>
          <t>FRUIT-MC-071</t>
        </is>
      </c>
      <c r="E72" s="9" t="inlineStr">
        <is>
          <t>Thái Lan</t>
        </is>
      </c>
      <c r="F72" s="9" t="inlineStr">
        <is>
          <t>GlobalGAP</t>
        </is>
      </c>
      <c r="G72" s="9" t="inlineStr">
        <is>
          <t>Nơi khô mát 5-7 ngày.</t>
        </is>
      </c>
      <c r="H72" s="9" t="inlineStr">
        <is>
          <t>1kg (5-7 trái)</t>
        </is>
      </c>
      <c r="I72" s="9" t="n"/>
      <c r="J72" s="9" t="inlineStr">
        <is>
          <t>Giàu chất chống oxy hóa, vitamin C... Múi trắng ngọt thanh.</t>
        </is>
      </c>
      <c r="K72" s="9" t="inlineStr">
        <is>
          <t>Cay</t>
        </is>
      </c>
      <c r="L72" s="9" t="inlineStr">
        <is>
          <t>Tươi</t>
        </is>
      </c>
      <c r="M72" s="9" t="inlineStr">
        <is>
          <t>Đa dụng</t>
        </is>
      </c>
      <c r="N72" s="9" t="inlineStr">
        <is>
          <t>Nước ngoài / cần kiểm tra</t>
        </is>
      </c>
      <c r="O72" s="9" t="inlineStr">
        <is>
          <t>Origin|Standard|Preservation|Weight|Attributes|Seasonality heuristic</t>
        </is>
      </c>
      <c r="P72" s="9" t="inlineStr">
        <is>
          <t>Origin; Season window; Standard/cert; Preservation guidance; Flavor/Texture/Usage</t>
        </is>
      </c>
      <c r="Q72" s="9" t="inlineStr">
        <is>
          <t>Cao</t>
        </is>
      </c>
      <c r="R72" s="9" t="inlineStr">
        <is>
          <t>B1</t>
        </is>
      </c>
      <c r="S72" s="9" t="inlineStr">
        <is>
          <t>Trái cây nhập khẩu hoặc ngoại nguồn, cần đối chiếu chính xác theo nguồn gốc xuất xứ.</t>
        </is>
      </c>
      <c r="T72" s="9" t="inlineStr">
        <is>
          <t>Partially verified - batch 1</t>
        </is>
      </c>
      <c r="U72" s="9" t="inlineStr">
        <is>
          <t>Thái Lan: sẵn hàng từ tháng 4-12, đỉnh tháng 4-8; tại Khiriwong (Nakhon Si Thammarat) mùa trái tập trung khoảng tháng 7-9.</t>
        </is>
      </c>
      <c r="V72" s="9">
        <f>COUNTIF('Seasonality Evidence'!B:B,A72)</f>
        <v/>
      </c>
      <c r="W72" s="9">
        <f>COUNTIF('Seasonality Evidence'!B:B,A72)</f>
        <v/>
      </c>
      <c r="X72" s="9">
        <f>COUNTIF('Research Evidence'!B:B,A72)</f>
        <v/>
      </c>
      <c r="Y72" s="9" t="inlineStr">
        <is>
          <t>Thailand</t>
        </is>
      </c>
      <c r="Z72" s="9" t="n"/>
      <c r="AA72" s="9" t="inlineStr">
        <is>
          <t>Imported</t>
        </is>
      </c>
      <c r="AB72" s="9" t="n"/>
      <c r="AC72" s="9" t="inlineStr">
        <is>
          <t>3-4 weeks at 13°C and 90-95% RH.</t>
        </is>
      </c>
      <c r="AD72" s="9" t="inlineStr">
        <is>
          <t>Sweet, juicy, mild fragrance</t>
        </is>
      </c>
      <c r="AE72" s="9" t="inlineStr">
        <is>
          <t>Soft segmented flesh</t>
        </is>
      </c>
      <c r="AF72" s="9" t="n"/>
      <c r="AG72" s="9" t="inlineStr">
        <is>
          <t>https://www.doae.go.th/en/mangosteen-2/</t>
        </is>
      </c>
      <c r="AH72" s="9" t="inlineStr">
        <is>
          <t>https://www.thailand.go.th/issue-focus-detail/001_02_255</t>
        </is>
      </c>
      <c r="AI72" s="9" t="inlineStr">
        <is>
          <t>2026-04-24 14:43:30 ICT</t>
        </is>
      </c>
      <c r="AJ72" s="9" t="inlineStr"/>
      <c r="AK72" s="9" t="n"/>
    </row>
    <row r="73">
      <c r="A73" s="9" t="n">
        <v>72</v>
      </c>
      <c r="B73" s="9" t="inlineStr">
        <is>
          <t>Trái cây</t>
        </is>
      </c>
      <c r="C73" s="9" t="inlineStr">
        <is>
          <t>Mít Thái siêu ngọt</t>
        </is>
      </c>
      <c r="D73" s="9" t="inlineStr">
        <is>
          <t>FRUIT-MTS-072</t>
        </is>
      </c>
      <c r="E73" s="9" t="inlineStr">
        <is>
          <t>Tiền Giang, Việt Nam</t>
        </is>
      </c>
      <c r="F73" s="9" t="inlineStr">
        <is>
          <t>VietGAP</t>
        </is>
      </c>
      <c r="G73" s="9" t="inlineStr">
        <is>
          <t>Nơi khô mát 3-5 ngày, bóc múi để ngăn mát 2 ngày.</t>
        </is>
      </c>
      <c r="H73" s="9" t="inlineStr">
        <is>
          <t>2kg (1 trái)</t>
        </is>
      </c>
      <c r="I73" s="9" t="n"/>
      <c r="J73" s="9" t="inlineStr">
        <is>
          <t>Giàu vitamin C, chất xơ... Múi vàng đậm, ngọt đặc, thơm nức.</t>
        </is>
      </c>
      <c r="K73" s="9" t="inlineStr">
        <is>
          <t>Ngọt</t>
        </is>
      </c>
      <c r="L73" s="9" t="inlineStr">
        <is>
          <t>Tươi</t>
        </is>
      </c>
      <c r="M73" s="9" t="inlineStr">
        <is>
          <t>Đa dụng</t>
        </is>
      </c>
      <c r="N73" s="9" t="inlineStr">
        <is>
          <t>Nội địa</t>
        </is>
      </c>
      <c r="O73" s="9" t="inlineStr">
        <is>
          <t>Origin|Standard|Preservation|Weight|Attributes|Seasonality heuristic</t>
        </is>
      </c>
      <c r="P73" s="9" t="inlineStr">
        <is>
          <t>Origin; Season window; Standard/cert; Preservation guidance; Flavor/Texture/Usage</t>
        </is>
      </c>
      <c r="Q73" s="9" t="inlineStr">
        <is>
          <t>Trung bình</t>
        </is>
      </c>
      <c r="R73" s="9" t="inlineStr">
        <is>
          <t>B3</t>
        </is>
      </c>
      <c r="S73" s="9" t="inlineStr">
        <is>
          <t>Trái cây nội địa và đặc sản vùng miền, ưu tiên peak season + khác biệt theo tỉnh/vùng.</t>
        </is>
      </c>
      <c r="T73" s="9" t="inlineStr">
        <is>
          <t>Partially verified - batch 3</t>
        </is>
      </c>
      <c r="U73" s="9" t="inlineStr">
        <is>
          <t>Tiền Giang: mít Thái siêu sớm cho thu hoạch rải vụ gần như quanh năm.</t>
        </is>
      </c>
      <c r="V73" s="9">
        <f>COUNTIF('Seasonality Evidence'!B:B,A73)</f>
        <v/>
      </c>
      <c r="W73" s="9">
        <f>COUNTIF('Seasonality Evidence'!B:B,A73)</f>
        <v/>
      </c>
      <c r="X73" s="9">
        <f>COUNTIF('Research Evidence'!B:B,A73)</f>
        <v/>
      </c>
      <c r="Y73" s="9" t="inlineStr">
        <is>
          <t>Vietnam</t>
        </is>
      </c>
      <c r="Z73" s="9" t="inlineStr">
        <is>
          <t>Tiền Giang - Cái Bè/Cai Lậy/Châu Thành/Tân Phước/TX Cai Lậy</t>
        </is>
      </c>
      <c r="AA73" s="9" t="inlineStr">
        <is>
          <t>Domestic</t>
        </is>
      </c>
      <c r="AB73" s="9" t="n"/>
      <c r="AC73" s="9" t="n"/>
      <c r="AD73" s="9" t="n"/>
      <c r="AE73" s="9" t="n"/>
      <c r="AF73" s="9" t="n"/>
      <c r="AG73" s="9" t="inlineStr">
        <is>
          <t>https://tiengiang.gov.vn/chi-tiet-tin?%2Fgia-mit-thai-tang-manh-giup-nong-dan-on-inh-cuoc-song-trong-tinh-hinh-dich-benh-con-phuc-tap%2F32403960=</t>
        </is>
      </c>
      <c r="AH73" s="9" t="inlineStr">
        <is>
          <t>https://tiengiang.gov.vn/chi-tiet-tin/?%2Fphat-trien-vung-mit-chuyen-canh-tren-nhung-ia-ban-san-xuat-kho-khan%2F58616436=</t>
        </is>
      </c>
      <c r="AI73" s="9" t="inlineStr">
        <is>
          <t>2026-04-24 21:05:08 ICT</t>
        </is>
      </c>
      <c r="AJ73" s="9" t="inlineStr"/>
      <c r="AK73" s="9" t="n"/>
    </row>
    <row r="74">
      <c r="A74" s="9" t="n">
        <v>73</v>
      </c>
      <c r="B74" s="9" t="inlineStr">
        <is>
          <t>Trái cây</t>
        </is>
      </c>
      <c r="C74" s="9" t="inlineStr">
        <is>
          <t>Lựu đỏ Mỹ</t>
        </is>
      </c>
      <c r="D74" s="9" t="inlineStr">
        <is>
          <t>FRUIT-LDM-073</t>
        </is>
      </c>
      <c r="E74" s="9" t="inlineStr">
        <is>
          <t>Mỹ</t>
        </is>
      </c>
      <c r="F74" s="9" t="inlineStr">
        <is>
          <t>USDA Organic</t>
        </is>
      </c>
      <c r="G74" s="9" t="inlineStr">
        <is>
          <t>Nơi khô mát 2 tuần, hoặc ngăn mát.</t>
        </is>
      </c>
      <c r="H74" s="9" t="inlineStr">
        <is>
          <t>800g (1-2 trái)</t>
        </is>
      </c>
      <c r="I74" s="9" t="n"/>
      <c r="J74" s="9" t="inlineStr">
        <is>
          <t>Giàu chất chống oxy hóa, vitamin K... Hạt đỏ mọng, ngọt chua.</t>
        </is>
      </c>
      <c r="K74" s="9" t="inlineStr">
        <is>
          <t>Ngọt</t>
        </is>
      </c>
      <c r="L74" s="9" t="inlineStr">
        <is>
          <t>Tươi</t>
        </is>
      </c>
      <c r="M74" s="9" t="inlineStr">
        <is>
          <t>Salad / ăn sống</t>
        </is>
      </c>
      <c r="N74" s="9" t="inlineStr">
        <is>
          <t>Nước ngoài / cần kiểm tra</t>
        </is>
      </c>
      <c r="O74" s="9" t="inlineStr">
        <is>
          <t>Origin|Standard|Preservation|Weight|Attributes|Seasonality heuristic</t>
        </is>
      </c>
      <c r="P74" s="9" t="inlineStr">
        <is>
          <t>Origin; Season window; Standard/cert; Preservation guidance; Flavor/Texture/Usage</t>
        </is>
      </c>
      <c r="Q74" s="9" t="inlineStr">
        <is>
          <t>Cao</t>
        </is>
      </c>
      <c r="R74" s="9" t="inlineStr">
        <is>
          <t>B1</t>
        </is>
      </c>
      <c r="S74" s="9" t="inlineStr">
        <is>
          <t>Trái cây nhập khẩu hoặc ngoại nguồn, cần đối chiếu chính xác theo nguồn gốc xuất xứ.</t>
        </is>
      </c>
      <c r="T74" s="9" t="inlineStr">
        <is>
          <t>Partially verified - batch 1</t>
        </is>
      </c>
      <c r="U74" s="9" t="inlineStr">
        <is>
          <t>California (San Joaquin Valley): mùa lựu từ khoảng tháng 10 đến tháng 1.</t>
        </is>
      </c>
      <c r="V74" s="9">
        <f>COUNTIF('Seasonality Evidence'!B:B,A74)</f>
        <v/>
      </c>
      <c r="W74" s="9">
        <f>COUNTIF('Seasonality Evidence'!B:B,A74)</f>
        <v/>
      </c>
      <c r="X74" s="9">
        <f>COUNTIF('Research Evidence'!B:B,A74)</f>
        <v/>
      </c>
      <c r="Y74" s="9" t="inlineStr">
        <is>
          <t>United States</t>
        </is>
      </c>
      <c r="Z74" s="9" t="inlineStr">
        <is>
          <t>California - San Joaquin Valley</t>
        </is>
      </c>
      <c r="AA74" s="9" t="inlineStr">
        <is>
          <t>Imported</t>
        </is>
      </c>
      <c r="AB74" s="9" t="n"/>
      <c r="AC74" s="9" t="n"/>
      <c r="AD74" s="9" t="n"/>
      <c r="AE74" s="9" t="n"/>
      <c r="AF74" s="9" t="n"/>
      <c r="AG74" s="9" t="inlineStr">
        <is>
          <t>https://pomegranates.org/about/why-california/</t>
        </is>
      </c>
      <c r="AH74" s="9" t="inlineStr"/>
      <c r="AI74" s="9" t="inlineStr">
        <is>
          <t>2026-04-24 14:43:30 ICT</t>
        </is>
      </c>
      <c r="AJ74" s="9" t="inlineStr"/>
      <c r="AK74" s="9" t="n"/>
    </row>
    <row r="75">
      <c r="A75" s="9" t="n">
        <v>74</v>
      </c>
      <c r="B75" s="9" t="inlineStr">
        <is>
          <t>Trái cây</t>
        </is>
      </c>
      <c r="C75" s="9" t="inlineStr">
        <is>
          <t>Dưa lưới Nhật</t>
        </is>
      </c>
      <c r="D75" s="9" t="inlineStr">
        <is>
          <t>FRUIT-DLN-074</t>
        </is>
      </c>
      <c r="E75" s="9" t="inlineStr">
        <is>
          <t>Nhật Bản</t>
        </is>
      </c>
      <c r="F75" s="9" t="inlineStr">
        <is>
          <t>Premium</t>
        </is>
      </c>
      <c r="G75" s="9" t="inlineStr">
        <is>
          <t>Nơi khô mát, chín mềm để ngăn mát 2-3 ngày.</t>
        </is>
      </c>
      <c r="H75" s="9" t="inlineStr">
        <is>
          <t>1.2kg (1 trái)</t>
        </is>
      </c>
      <c r="I75" s="9" t="n"/>
      <c r="J75" s="9" t="inlineStr">
        <is>
          <t>Giàu vitamin A, C... Thịt cam mềm, ngọt thơm, cao cấp.</t>
        </is>
      </c>
      <c r="K75" s="9" t="inlineStr">
        <is>
          <t>Ngọt</t>
        </is>
      </c>
      <c r="L75" s="9" t="inlineStr">
        <is>
          <t>Mềm</t>
        </is>
      </c>
      <c r="M75" s="9" t="inlineStr">
        <is>
          <t>Đa dụng</t>
        </is>
      </c>
      <c r="N75" s="9" t="inlineStr">
        <is>
          <t>Nước ngoài / cần kiểm tra</t>
        </is>
      </c>
      <c r="O75" s="9" t="inlineStr">
        <is>
          <t>Origin|Standard|Preservation|Weight|Attributes|Seasonality heuristic</t>
        </is>
      </c>
      <c r="P75" s="9" t="inlineStr">
        <is>
          <t>Origin; Season window; Standard/cert; Preservation guidance; Flavor/Texture/Usage</t>
        </is>
      </c>
      <c r="Q75" s="9" t="inlineStr">
        <is>
          <t>Cao</t>
        </is>
      </c>
      <c r="R75" s="9" t="inlineStr">
        <is>
          <t>B1</t>
        </is>
      </c>
      <c r="S75" s="9" t="inlineStr">
        <is>
          <t>Trái cây nhập khẩu hoặc ngoại nguồn, cần đối chiếu chính xác theo nguồn gốc xuất xứ.</t>
        </is>
      </c>
      <c r="T75" s="9" t="inlineStr">
        <is>
          <t>Partially verified - batch 1</t>
        </is>
      </c>
      <c r="U75" s="9" t="inlineStr">
        <is>
          <t>Nhật Bản: Ibaraki shipping từ cuối tháng 4 đến cuối tháng 10; Shizuoka greenhouse có thể cung ứng quanh năm.</t>
        </is>
      </c>
      <c r="V75" s="9">
        <f>COUNTIF('Seasonality Evidence'!B:B,A75)</f>
        <v/>
      </c>
      <c r="W75" s="9">
        <f>COUNTIF('Seasonality Evidence'!B:B,A75)</f>
        <v/>
      </c>
      <c r="X75" s="9">
        <f>COUNTIF('Research Evidence'!B:B,A75)</f>
        <v/>
      </c>
      <c r="Y75" s="9" t="inlineStr">
        <is>
          <t>Japan</t>
        </is>
      </c>
      <c r="Z75" s="9" t="inlineStr">
        <is>
          <t>Ibaraki / Shizuoka</t>
        </is>
      </c>
      <c r="AA75" s="9" t="inlineStr">
        <is>
          <t>Imported</t>
        </is>
      </c>
      <c r="AB75" s="9" t="n"/>
      <c r="AC75" s="9" t="inlineStr">
        <is>
          <t>Keep refrigerated.</t>
        </is>
      </c>
      <c r="AD75" s="9" t="inlineStr">
        <is>
          <t>Rich aroma, sweet</t>
        </is>
      </c>
      <c r="AE75" s="9" t="inlineStr">
        <is>
          <t>Soft / juicy flesh</t>
        </is>
      </c>
      <c r="AF75" s="9" t="n"/>
      <c r="AG75" s="9" t="inlineStr">
        <is>
          <t>https://exports.pref.ibaraki.jp/en/product/detail?id=714713</t>
        </is>
      </c>
      <c r="AH75" s="9" t="inlineStr">
        <is>
          <t>https://fujinokuni.shokunomiyako-shizuoka.pref.shizuoka.jp/en/buy-food/1884</t>
        </is>
      </c>
      <c r="AI75" s="9" t="inlineStr">
        <is>
          <t>2026-04-24 14:43:30 ICT</t>
        </is>
      </c>
      <c r="AJ75" s="9" t="inlineStr">
        <is>
          <t>Catalog chỉ ghi Japan; để gắn tag mùa vụ thật chính xác cần biết lô hàng thực đến từ Ibaraki hay Shizuoka/nhà kính khác.</t>
        </is>
      </c>
      <c r="AK75" s="9" t="n"/>
    </row>
    <row r="76">
      <c r="A76" s="9" t="n">
        <v>75</v>
      </c>
      <c r="B76" s="9" t="inlineStr">
        <is>
          <t>Trái cây</t>
        </is>
      </c>
      <c r="C76" s="9" t="inlineStr">
        <is>
          <t>Mận đỏ Mỹ</t>
        </is>
      </c>
      <c r="D76" s="9" t="inlineStr">
        <is>
          <t>FRUIT-MDM-075</t>
        </is>
      </c>
      <c r="E76" s="9" t="inlineStr">
        <is>
          <t>Mỹ</t>
        </is>
      </c>
      <c r="F76" s="9" t="inlineStr">
        <is>
          <t>GlobalGAP</t>
        </is>
      </c>
      <c r="G76" s="9" t="inlineStr">
        <is>
          <t>Ngăn mát tủ lạnh 1 tuần.</t>
        </is>
      </c>
      <c r="H76" s="9" t="inlineStr">
        <is>
          <t>500g</t>
        </is>
      </c>
      <c r="I76" s="9" t="n"/>
      <c r="J76" s="9" t="inlineStr">
        <is>
          <t>Giàu vitamin C, chất xơ... Quả đỏ tươi, giòn ngọt, chua nhẹ.</t>
        </is>
      </c>
      <c r="K76" s="9" t="inlineStr">
        <is>
          <t>Ngọt</t>
        </is>
      </c>
      <c r="L76" s="9" t="inlineStr">
        <is>
          <t>Giòn</t>
        </is>
      </c>
      <c r="M76" s="9" t="inlineStr">
        <is>
          <t>Nướng</t>
        </is>
      </c>
      <c r="N76" s="9" t="inlineStr">
        <is>
          <t>Nước ngoài / cần kiểm tra</t>
        </is>
      </c>
      <c r="O76" s="9" t="inlineStr">
        <is>
          <t>Origin|Standard|Preservation|Weight|Attributes|Seasonality heuristic</t>
        </is>
      </c>
      <c r="P76" s="9" t="inlineStr">
        <is>
          <t>Origin; Season window; Standard/cert; Preservation guidance; Flavor/Texture/Usage</t>
        </is>
      </c>
      <c r="Q76" s="9" t="inlineStr">
        <is>
          <t>Cao</t>
        </is>
      </c>
      <c r="R76" s="9" t="inlineStr">
        <is>
          <t>B1</t>
        </is>
      </c>
      <c r="S76" s="9" t="inlineStr">
        <is>
          <t>Trái cây nhập khẩu hoặc ngoại nguồn, cần đối chiếu chính xác theo nguồn gốc xuất xứ.</t>
        </is>
      </c>
      <c r="T76" s="9" t="inlineStr">
        <is>
          <t>Partially verified - batch 1</t>
        </is>
      </c>
      <c r="U76" s="9" t="inlineStr">
        <is>
          <t>California: mùa mận kéo dài từ tháng 5 đến tháng 12, sản lượng mạnh nhất vào tháng 6-8.</t>
        </is>
      </c>
      <c r="V76" s="9">
        <f>COUNTIF('Seasonality Evidence'!B:B,A76)</f>
        <v/>
      </c>
      <c r="W76" s="9">
        <f>COUNTIF('Seasonality Evidence'!B:B,A76)</f>
        <v/>
      </c>
      <c r="X76" s="9">
        <f>COUNTIF('Research Evidence'!B:B,A76)</f>
        <v/>
      </c>
      <c r="Y76" s="9" t="inlineStr">
        <is>
          <t>United States</t>
        </is>
      </c>
      <c r="Z76" s="9" t="inlineStr">
        <is>
          <t>California</t>
        </is>
      </c>
      <c r="AA76" s="9" t="inlineStr">
        <is>
          <t>Imported</t>
        </is>
      </c>
      <c r="AB76" s="9" t="n"/>
      <c r="AC76" s="9" t="n"/>
      <c r="AD76" s="9" t="n"/>
      <c r="AE76" s="9" t="n"/>
      <c r="AF76" s="9" t="n"/>
      <c r="AG76" s="9" t="inlineStr">
        <is>
          <t>https://www.cde.ca.gov/ls/nu/fd/plum.asp</t>
        </is>
      </c>
      <c r="AH76" s="9" t="inlineStr"/>
      <c r="AI76" s="9" t="inlineStr">
        <is>
          <t>2026-04-24 14:43:30 ICT</t>
        </is>
      </c>
      <c r="AJ76" s="9" t="inlineStr"/>
      <c r="AK76" s="9" t="n"/>
    </row>
    <row r="77">
      <c r="A77" s="9" t="n">
        <v>76</v>
      </c>
      <c r="B77" s="9" t="inlineStr">
        <is>
          <t>Trái cây</t>
        </is>
      </c>
      <c r="C77" s="9" t="inlineStr">
        <is>
          <t>Lê Nam Phi</t>
        </is>
      </c>
      <c r="D77" s="9" t="inlineStr">
        <is>
          <t>FRUIT-LNP-076</t>
        </is>
      </c>
      <c r="E77" s="9" t="inlineStr">
        <is>
          <t>Nam Phi</t>
        </is>
      </c>
      <c r="F77" s="9" t="inlineStr">
        <is>
          <t>GlobalGAP</t>
        </is>
      </c>
      <c r="G77" s="9" t="inlineStr">
        <is>
          <t>Nơi khô mát 1-2 tuần.</t>
        </is>
      </c>
      <c r="H77" s="9" t="inlineStr">
        <is>
          <t>1kg (3-4 trái)</t>
        </is>
      </c>
      <c r="I77" s="9" t="n"/>
      <c r="J77" s="9" t="inlineStr">
        <is>
          <t>Giàu vitamin C, K... Thịt trắng giòn, ngọt mát, thơm nhẹ.</t>
        </is>
      </c>
      <c r="K77" s="9" t="inlineStr">
        <is>
          <t>Ngọt</t>
        </is>
      </c>
      <c r="L77" s="9" t="inlineStr">
        <is>
          <t>Giòn</t>
        </is>
      </c>
      <c r="M77" s="9" t="inlineStr">
        <is>
          <t>Salad / ăn sống</t>
        </is>
      </c>
      <c r="N77" s="9" t="inlineStr">
        <is>
          <t>Nước ngoài / cần kiểm tra</t>
        </is>
      </c>
      <c r="O77" s="9" t="inlineStr">
        <is>
          <t>Origin|Standard|Preservation|Weight|Attributes|Seasonality heuristic</t>
        </is>
      </c>
      <c r="P77" s="9" t="inlineStr">
        <is>
          <t>Origin; Season window; Standard/cert; Preservation guidance; Flavor/Texture/Usage</t>
        </is>
      </c>
      <c r="Q77" s="9" t="inlineStr">
        <is>
          <t>Cao</t>
        </is>
      </c>
      <c r="R77" s="9" t="inlineStr">
        <is>
          <t>B1</t>
        </is>
      </c>
      <c r="S77" s="9" t="inlineStr">
        <is>
          <t>Trái cây nhập khẩu hoặc ngoại nguồn, cần đối chiếu chính xác theo nguồn gốc xuất xứ.</t>
        </is>
      </c>
      <c r="T77" s="9" t="inlineStr">
        <is>
          <t>Partially verified - batch 1</t>
        </is>
      </c>
      <c r="U77" s="9" t="inlineStr">
        <is>
          <t>Nam Phi: mùa lê được xác nhận bắt đầu thu hoạch từ tháng 1; vùng trồng chính nằm ở Western Cape như Ceres, Groenland và Wolseley/Tulbagh.</t>
        </is>
      </c>
      <c r="V77" s="9">
        <f>COUNTIF('Seasonality Evidence'!B:B,A77)</f>
        <v/>
      </c>
      <c r="W77" s="9">
        <f>COUNTIF('Seasonality Evidence'!B:B,A77)</f>
        <v/>
      </c>
      <c r="X77" s="9">
        <f>COUNTIF('Research Evidence'!B:B,A77)</f>
        <v/>
      </c>
      <c r="Y77" s="9" t="inlineStr">
        <is>
          <t>South Africa</t>
        </is>
      </c>
      <c r="Z77" s="9" t="inlineStr">
        <is>
          <t>Western Cape - Ceres / Groenland / Wolseley-Tulbagh</t>
        </is>
      </c>
      <c r="AA77" s="9" t="inlineStr">
        <is>
          <t>Imported</t>
        </is>
      </c>
      <c r="AB77" s="9" t="n"/>
      <c r="AC77" s="9" t="n"/>
      <c r="AD77" s="9" t="n"/>
      <c r="AE77" s="9" t="n"/>
      <c r="AF77" s="9" t="n"/>
      <c r="AG77" s="9" t="inlineStr">
        <is>
          <t>https://www.hortgro.co.za/wp-content/uploads/docs/dlm_uploads/2025/01/Pome-fruit-industry-estimates_2025-SEASON_FINAL.pdf</t>
        </is>
      </c>
      <c r="AH77" s="9" t="inlineStr">
        <is>
          <t>https://www.nda.gov.za/images/Branches/Economica%20Development%20Trade%20and%20Marketing/marketing/annual-publications/fruits/pear-market-value-chain-profile-2020.pdf</t>
        </is>
      </c>
      <c r="AI77" s="9" t="inlineStr">
        <is>
          <t>2026-04-24 14:43:30 ICT</t>
        </is>
      </c>
      <c r="AJ77" s="9" t="inlineStr">
        <is>
          <t>Nguồn mạnh mới xác nhận tháng bắt đầu và vùng trồng chính; khung kết thúc của generic South African pear vẫn cần kiểm tra thêm theo cultivar.</t>
        </is>
      </c>
      <c r="AK77" s="9" t="n"/>
    </row>
    <row r="78">
      <c r="A78" s="9" t="n">
        <v>77</v>
      </c>
      <c r="B78" s="9" t="inlineStr">
        <is>
          <t>Trái cây</t>
        </is>
      </c>
      <c r="C78" s="9" t="inlineStr">
        <is>
          <t>Kiwi vàng New Zealand</t>
        </is>
      </c>
      <c r="D78" s="9" t="inlineStr">
        <is>
          <t>FRUIT-KVN-077</t>
        </is>
      </c>
      <c r="E78" s="9" t="inlineStr">
        <is>
          <t>New Zealand</t>
        </is>
      </c>
      <c r="F78" s="9" t="inlineStr">
        <is>
          <t>Premium</t>
        </is>
      </c>
      <c r="G78" s="9" t="inlineStr">
        <is>
          <t>Ngăn mát tủ lạnh 2-3 tuần.</t>
        </is>
      </c>
      <c r="H78" s="9" t="inlineStr">
        <is>
          <t>500g (4-5 trái)</t>
        </is>
      </c>
      <c r="I78" s="9" t="n"/>
      <c r="J78" s="9" t="inlineStr">
        <is>
          <t>Giàu vitamin C, E, chất xơ... Ruột vàng, ngọt thơm, mềm mại.</t>
        </is>
      </c>
      <c r="K78" s="9" t="inlineStr">
        <is>
          <t>Ngọt</t>
        </is>
      </c>
      <c r="L78" s="9" t="inlineStr">
        <is>
          <t>Mềm</t>
        </is>
      </c>
      <c r="M78" s="9" t="inlineStr">
        <is>
          <t>Salad / ăn sống</t>
        </is>
      </c>
      <c r="N78" s="9" t="inlineStr">
        <is>
          <t>Nước ngoài / cần kiểm tra</t>
        </is>
      </c>
      <c r="O78" s="9" t="inlineStr">
        <is>
          <t>Origin|Standard|Preservation|Weight|Attributes|Seasonality heuristic</t>
        </is>
      </c>
      <c r="P78" s="9" t="inlineStr">
        <is>
          <t>Origin; Season window; Standard/cert; Preservation guidance; Flavor/Texture/Usage</t>
        </is>
      </c>
      <c r="Q78" s="9" t="inlineStr">
        <is>
          <t>Cao</t>
        </is>
      </c>
      <c r="R78" s="9" t="inlineStr">
        <is>
          <t>B1</t>
        </is>
      </c>
      <c r="S78" s="9" t="inlineStr">
        <is>
          <t>Trái cây nhập khẩu hoặc ngoại nguồn, cần đối chiếu chính xác theo nguồn gốc xuất xứ.</t>
        </is>
      </c>
      <c r="T78" s="9" t="inlineStr">
        <is>
          <t>Partially verified - batch 1</t>
        </is>
      </c>
      <c r="U78" s="9" t="inlineStr">
        <is>
          <t>New Zealand: thu hoạch kiwi từ tháng 3 đến tháng 5.</t>
        </is>
      </c>
      <c r="V78" s="9">
        <f>COUNTIF('Seasonality Evidence'!B:B,A78)</f>
        <v/>
      </c>
      <c r="W78" s="9">
        <f>COUNTIF('Seasonality Evidence'!B:B,A78)</f>
        <v/>
      </c>
      <c r="X78" s="9">
        <f>COUNTIF('Research Evidence'!B:B,A78)</f>
        <v/>
      </c>
      <c r="Y78" s="9" t="inlineStr">
        <is>
          <t>New Zealand</t>
        </is>
      </c>
      <c r="Z78" s="9" t="n"/>
      <c r="AA78" s="9" t="inlineStr">
        <is>
          <t>Imported</t>
        </is>
      </c>
      <c r="AB78" s="9" t="n"/>
      <c r="AC78" s="9" t="n"/>
      <c r="AD78" s="9" t="n"/>
      <c r="AE78" s="9" t="n"/>
      <c r="AF78" s="9" t="n"/>
      <c r="AG78" s="9" t="inlineStr">
        <is>
          <t>https://www.zespri.com/en-US/blogdetail/when-is-kiwifruit-season</t>
        </is>
      </c>
      <c r="AH78" s="9" t="inlineStr"/>
      <c r="AI78" s="9" t="inlineStr">
        <is>
          <t>2026-04-24 14:43:30 ICT</t>
        </is>
      </c>
      <c r="AJ78" s="9" t="inlineStr"/>
      <c r="AK78" s="9" t="n"/>
    </row>
    <row r="79">
      <c r="A79" s="9" t="n">
        <v>78</v>
      </c>
      <c r="B79" s="9" t="inlineStr">
        <is>
          <t>Trái cây</t>
        </is>
      </c>
      <c r="C79" s="9" t="inlineStr">
        <is>
          <t>Dứa MD2 Thái Lan</t>
        </is>
      </c>
      <c r="D79" s="9" t="inlineStr">
        <is>
          <t>FRUIT-DMT-078</t>
        </is>
      </c>
      <c r="E79" s="9" t="inlineStr">
        <is>
          <t>Thái Lan</t>
        </is>
      </c>
      <c r="F79" s="9" t="inlineStr">
        <is>
          <t>GlobalGAP</t>
        </is>
      </c>
      <c r="G79" s="9" t="inlineStr">
        <is>
          <t>Nơi khô mát 1 tuần, cắt rồi để ngăn mát 3 ngày.</t>
        </is>
      </c>
      <c r="H79" s="9" t="inlineStr">
        <is>
          <t>1.5kg (1 trái)</t>
        </is>
      </c>
      <c r="I79" s="9" t="n"/>
      <c r="J79" s="9" t="inlineStr">
        <is>
          <t>Giàu bromelain, vitamin C... Thịt vàng, ngọt đậm, ít chua.</t>
        </is>
      </c>
      <c r="K79" s="9" t="inlineStr">
        <is>
          <t>Ngọt</t>
        </is>
      </c>
      <c r="L79" s="9" t="inlineStr">
        <is>
          <t>Tươi</t>
        </is>
      </c>
      <c r="M79" s="9" t="inlineStr">
        <is>
          <t>Nướng</t>
        </is>
      </c>
      <c r="N79" s="9" t="inlineStr">
        <is>
          <t>Nước ngoài / cần kiểm tra</t>
        </is>
      </c>
      <c r="O79" s="9" t="inlineStr">
        <is>
          <t>Origin|Standard|Preservation|Weight|Attributes|Seasonality heuristic</t>
        </is>
      </c>
      <c r="P79" s="9" t="inlineStr">
        <is>
          <t>Origin; Season window; Standard/cert; Preservation guidance; Flavor/Texture/Usage</t>
        </is>
      </c>
      <c r="Q79" s="9" t="inlineStr">
        <is>
          <t>Cao</t>
        </is>
      </c>
      <c r="R79" s="9" t="inlineStr">
        <is>
          <t>B1</t>
        </is>
      </c>
      <c r="S79" s="9" t="inlineStr">
        <is>
          <t>Trái cây nhập khẩu hoặc ngoại nguồn, cần đối chiếu chính xác theo nguồn gốc xuất xứ.</t>
        </is>
      </c>
      <c r="T79" s="9" t="inlineStr">
        <is>
          <t>Partially verified - batch 1</t>
        </is>
      </c>
      <c r="U79" s="9" t="inlineStr">
        <is>
          <t>Thái Lan: dứa nói chung có quanh năm, đỉnh tháng 4-7; lịch riêng cho MD2 vẫn cần nguồn chính thống mạnh hơn.</t>
        </is>
      </c>
      <c r="V79" s="9">
        <f>COUNTIF('Seasonality Evidence'!B:B,A79)</f>
        <v/>
      </c>
      <c r="W79" s="9">
        <f>COUNTIF('Seasonality Evidence'!B:B,A79)</f>
        <v/>
      </c>
      <c r="X79" s="9">
        <f>COUNTIF('Research Evidence'!B:B,A79)</f>
        <v/>
      </c>
      <c r="Y79" s="9" t="inlineStr">
        <is>
          <t>Thailand</t>
        </is>
      </c>
      <c r="Z79" s="9" t="n"/>
      <c r="AA79" s="9" t="inlineStr">
        <is>
          <t>Imported</t>
        </is>
      </c>
      <c r="AB79" s="9" t="n"/>
      <c r="AC79" s="9" t="n"/>
      <c r="AD79" s="9" t="n"/>
      <c r="AE79" s="9" t="n"/>
      <c r="AF79" s="9" t="n"/>
      <c r="AG79" s="9" t="inlineStr">
        <is>
          <t>https://www.doae.go.th/en/pineapple-2/</t>
        </is>
      </c>
      <c r="AH79" s="9" t="inlineStr">
        <is>
          <t>https://info.doa.go.th/research/index.php?act=view_detail&amp;id=4460</t>
        </is>
      </c>
      <c r="AI79" s="9" t="inlineStr">
        <is>
          <t>2026-04-24 14:43:30 ICT</t>
        </is>
      </c>
      <c r="AJ79" s="9" t="inlineStr">
        <is>
          <t>Mùa vụ hiện mới xác nhận ở mức pineapple Thailand general; chưa có lịch tháng đủ mạnh riêng cho MD2 Thailand.</t>
        </is>
      </c>
      <c r="AK79" s="9" t="n"/>
    </row>
    <row r="80">
      <c r="A80" s="9" t="n">
        <v>101</v>
      </c>
      <c r="B80" s="9" t="inlineStr">
        <is>
          <t>Rau lá</t>
        </is>
      </c>
      <c r="C80" s="9" t="inlineStr">
        <is>
          <t>Xà lách lô lô</t>
        </is>
      </c>
      <c r="D80" s="9" t="inlineStr">
        <is>
          <t>VEG-XLL-101</t>
        </is>
      </c>
      <c r="E80" s="9" t="inlineStr">
        <is>
          <t>Đà Lạt, Việt Nam</t>
        </is>
      </c>
      <c r="F80" s="9" t="inlineStr">
        <is>
          <t>VietGAP</t>
        </is>
      </c>
      <c r="G80" s="9" t="inlineStr">
        <is>
          <t>Bảo quản ngăn mát 2-3 ngày</t>
        </is>
      </c>
      <c r="H80" s="9" t="inlineStr">
        <is>
          <t>300g</t>
        </is>
      </c>
      <c r="I80" s="9" t="n">
        <v>3</v>
      </c>
      <c r="J80" s="9" t="inlineStr">
        <is>
          <t>Xà lách lô lô tươi giòn</t>
        </is>
      </c>
      <c r="K80" s="9" t="inlineStr">
        <is>
          <t>Ngọt</t>
        </is>
      </c>
      <c r="L80" s="9" t="inlineStr">
        <is>
          <t>Giòn</t>
        </is>
      </c>
      <c r="M80" s="9" t="inlineStr">
        <is>
          <t>Salad / ăn sống</t>
        </is>
      </c>
      <c r="N80" s="9" t="inlineStr">
        <is>
          <t>Nội địa</t>
        </is>
      </c>
      <c r="O80" s="9" t="inlineStr">
        <is>
          <t>Origin|Standard|Preservation|Weight|Attributes|Seasonality heuristic</t>
        </is>
      </c>
      <c r="P80" s="9" t="inlineStr">
        <is>
          <t>Origin; Season window; Standard/cert; Preservation guidance; Flavor/Texture/Usage</t>
        </is>
      </c>
      <c r="Q80" s="9" t="inlineStr">
        <is>
          <t>Trung bình</t>
        </is>
      </c>
      <c r="R80" s="9" t="inlineStr">
        <is>
          <t>B4</t>
        </is>
      </c>
      <c r="S80" s="9" t="inlineStr">
        <is>
          <t>Rau lá, rau thơm và nhóm thân/mầm; thường có quanh năm nhưng peak và vùng trồng khác nhau.</t>
        </is>
      </c>
      <c r="T80" s="9" t="inlineStr">
        <is>
          <t>Pending</t>
        </is>
      </c>
      <c r="U80" s="9" t="n"/>
      <c r="V80" s="9">
        <f>COUNTIF('Seasonality Evidence'!B:B,A80)</f>
        <v/>
      </c>
      <c r="W80" s="9">
        <f>COUNTIF('Seasonality Evidence'!B:B,A80)</f>
        <v/>
      </c>
      <c r="X80" s="9">
        <f>COUNTIF('Research Evidence'!B:B,A80)</f>
        <v/>
      </c>
      <c r="Y80" s="9" t="n"/>
      <c r="Z80" s="9" t="n"/>
      <c r="AA80" s="9" t="n"/>
      <c r="AB80" s="9" t="n"/>
      <c r="AC80" s="9" t="n"/>
      <c r="AD80" s="9" t="n"/>
      <c r="AE80" s="9" t="n"/>
      <c r="AF80" s="9" t="n"/>
      <c r="AG80" s="9" t="n"/>
      <c r="AH80" s="9" t="n"/>
      <c r="AI80" s="9" t="n"/>
      <c r="AJ80" s="9" t="n"/>
      <c r="AK80" s="9" t="n"/>
    </row>
    <row r="81">
      <c r="A81" s="9" t="n">
        <v>102</v>
      </c>
      <c r="B81" s="9" t="inlineStr">
        <is>
          <t>Rau lá</t>
        </is>
      </c>
      <c r="C81" s="9" t="inlineStr">
        <is>
          <t>Cải bẹ xanh</t>
        </is>
      </c>
      <c r="D81" s="9" t="inlineStr">
        <is>
          <t>VEG-CBX-102</t>
        </is>
      </c>
      <c r="E81" s="9" t="inlineStr">
        <is>
          <t>Long An, Việt Nam</t>
        </is>
      </c>
      <c r="F81" s="9" t="inlineStr">
        <is>
          <t>VietGAP</t>
        </is>
      </c>
      <c r="G81" s="9" t="inlineStr">
        <is>
          <t>Bảo quản ngăn mát 3-4 ngày</t>
        </is>
      </c>
      <c r="H81" s="9" t="inlineStr">
        <is>
          <t>500g</t>
        </is>
      </c>
      <c r="I81" s="9" t="n">
        <v>4</v>
      </c>
      <c r="J81" s="9" t="inlineStr">
        <is>
          <t>Cải bẹ xanh tươi</t>
        </is>
      </c>
      <c r="K81" s="9" t="inlineStr">
        <is>
          <t>Ngọt</t>
        </is>
      </c>
      <c r="L81" s="9" t="inlineStr">
        <is>
          <t>Giòn</t>
        </is>
      </c>
      <c r="M81" s="9" t="inlineStr">
        <is>
          <t>Xào / nấu canh</t>
        </is>
      </c>
      <c r="N81" s="9" t="inlineStr">
        <is>
          <t>Nội địa</t>
        </is>
      </c>
      <c r="O81" s="9" t="inlineStr">
        <is>
          <t>Origin|Standard|Preservation|Weight|Attributes|Seasonality heuristic</t>
        </is>
      </c>
      <c r="P81" s="9" t="inlineStr">
        <is>
          <t>Origin; Season window; Standard/cert; Preservation guidance; Flavor/Texture/Usage</t>
        </is>
      </c>
      <c r="Q81" s="9" t="inlineStr">
        <is>
          <t>Trung bình</t>
        </is>
      </c>
      <c r="R81" s="9" t="inlineStr">
        <is>
          <t>B4</t>
        </is>
      </c>
      <c r="S81" s="9" t="inlineStr">
        <is>
          <t>Rau lá, rau thơm và nhóm thân/mầm; thường có quanh năm nhưng peak và vùng trồng khác nhau.</t>
        </is>
      </c>
      <c r="T81" s="9" t="inlineStr">
        <is>
          <t>Pending</t>
        </is>
      </c>
      <c r="U81" s="9" t="n"/>
      <c r="V81" s="9">
        <f>COUNTIF('Seasonality Evidence'!B:B,A81)</f>
        <v/>
      </c>
      <c r="W81" s="9">
        <f>COUNTIF('Seasonality Evidence'!B:B,A81)</f>
        <v/>
      </c>
      <c r="X81" s="9">
        <f>COUNTIF('Research Evidence'!B:B,A81)</f>
        <v/>
      </c>
      <c r="Y81" s="9" t="n"/>
      <c r="Z81" s="9" t="n"/>
      <c r="AA81" s="9" t="n"/>
      <c r="AB81" s="9" t="n"/>
      <c r="AC81" s="9" t="n"/>
      <c r="AD81" s="9" t="n"/>
      <c r="AE81" s="9" t="n"/>
      <c r="AF81" s="9" t="n"/>
      <c r="AG81" s="9" t="n"/>
      <c r="AH81" s="9" t="n"/>
      <c r="AI81" s="9" t="n"/>
      <c r="AJ81" s="9" t="n"/>
      <c r="AK81" s="9" t="n"/>
    </row>
    <row r="82">
      <c r="A82" s="9" t="n">
        <v>103</v>
      </c>
      <c r="B82" s="9" t="inlineStr">
        <is>
          <t>Rau lá</t>
        </is>
      </c>
      <c r="C82" s="9" t="inlineStr">
        <is>
          <t>Rau diếp</t>
        </is>
      </c>
      <c r="D82" s="9" t="inlineStr">
        <is>
          <t>VEG-RD-103</t>
        </is>
      </c>
      <c r="E82" s="9" t="inlineStr">
        <is>
          <t>Lâm Đồng, Việt Nam</t>
        </is>
      </c>
      <c r="F82" s="9" t="inlineStr">
        <is>
          <t>VietGAP</t>
        </is>
      </c>
      <c r="G82" s="9" t="inlineStr">
        <is>
          <t>Bảo quản ngăn mát 2-3 ngày</t>
        </is>
      </c>
      <c r="H82" s="9" t="inlineStr">
        <is>
          <t>250g</t>
        </is>
      </c>
      <c r="I82" s="9" t="n">
        <v>3</v>
      </c>
      <c r="J82" s="9" t="inlineStr">
        <is>
          <t>Rau diếp tươi mát</t>
        </is>
      </c>
      <c r="K82" s="9" t="inlineStr">
        <is>
          <t>Tự nhiên</t>
        </is>
      </c>
      <c r="L82" s="9" t="inlineStr">
        <is>
          <t>Giòn</t>
        </is>
      </c>
      <c r="M82" s="9" t="inlineStr">
        <is>
          <t>Salad / ăn sống</t>
        </is>
      </c>
      <c r="N82" s="9" t="inlineStr">
        <is>
          <t>Nội địa</t>
        </is>
      </c>
      <c r="O82" s="9" t="inlineStr">
        <is>
          <t>Origin|Standard|Preservation|Weight|Attributes|Seasonality heuristic</t>
        </is>
      </c>
      <c r="P82" s="9" t="inlineStr">
        <is>
          <t>Origin; Season window; Standard/cert; Preservation guidance; Flavor/Texture/Usage</t>
        </is>
      </c>
      <c r="Q82" s="9" t="inlineStr">
        <is>
          <t>Trung bình</t>
        </is>
      </c>
      <c r="R82" s="9" t="inlineStr">
        <is>
          <t>B4</t>
        </is>
      </c>
      <c r="S82" s="9" t="inlineStr">
        <is>
          <t>Rau lá, rau thơm và nhóm thân/mầm; thường có quanh năm nhưng peak và vùng trồng khác nhau.</t>
        </is>
      </c>
      <c r="T82" s="9" t="inlineStr">
        <is>
          <t>Pending</t>
        </is>
      </c>
      <c r="U82" s="9" t="n"/>
      <c r="V82" s="9">
        <f>COUNTIF('Seasonality Evidence'!B:B,A82)</f>
        <v/>
      </c>
      <c r="W82" s="9">
        <f>COUNTIF('Seasonality Evidence'!B:B,A82)</f>
        <v/>
      </c>
      <c r="X82" s="9">
        <f>COUNTIF('Research Evidence'!B:B,A82)</f>
        <v/>
      </c>
      <c r="Y82" s="9" t="n"/>
      <c r="Z82" s="9" t="n"/>
      <c r="AA82" s="9" t="n"/>
      <c r="AB82" s="9" t="n"/>
      <c r="AC82" s="9" t="n"/>
      <c r="AD82" s="9" t="n"/>
      <c r="AE82" s="9" t="n"/>
      <c r="AF82" s="9" t="n"/>
      <c r="AG82" s="9" t="n"/>
      <c r="AH82" s="9" t="n"/>
      <c r="AI82" s="9" t="n"/>
      <c r="AJ82" s="9" t="n"/>
      <c r="AK82" s="9" t="n"/>
    </row>
    <row r="83">
      <c r="A83" s="9" t="n">
        <v>104</v>
      </c>
      <c r="B83" s="9" t="inlineStr">
        <is>
          <t>Rau ăn hoa / thân / mầm</t>
        </is>
      </c>
      <c r="C83" s="9" t="inlineStr">
        <is>
          <t>Bông cải xanh baby</t>
        </is>
      </c>
      <c r="D83" s="9" t="inlineStr">
        <is>
          <t>VEG-BCXB-104</t>
        </is>
      </c>
      <c r="E83" s="9" t="inlineStr">
        <is>
          <t>Lâm Đồng, Việt Nam</t>
        </is>
      </c>
      <c r="F83" s="9" t="inlineStr">
        <is>
          <t>GlobalGAP</t>
        </is>
      </c>
      <c r="G83" s="9" t="inlineStr">
        <is>
          <t>Bảo quản ngăn mát 4-5 ngày</t>
        </is>
      </c>
      <c r="H83" s="9" t="inlineStr">
        <is>
          <t>400g</t>
        </is>
      </c>
      <c r="I83" s="9" t="n">
        <v>5</v>
      </c>
      <c r="J83" s="9" t="inlineStr">
        <is>
          <t>Bông cải xanh baby</t>
        </is>
      </c>
      <c r="K83" s="9" t="inlineStr">
        <is>
          <t>Ngọt</t>
        </is>
      </c>
      <c r="L83" s="9" t="inlineStr">
        <is>
          <t>Giòn</t>
        </is>
      </c>
      <c r="M83" s="9" t="inlineStr">
        <is>
          <t>Salad / ăn sống</t>
        </is>
      </c>
      <c r="N83" s="9" t="inlineStr">
        <is>
          <t>Nội địa</t>
        </is>
      </c>
      <c r="O83" s="9" t="inlineStr">
        <is>
          <t>Origin|Standard|Preservation|Weight|Attributes|Seasonality heuristic</t>
        </is>
      </c>
      <c r="P83" s="9" t="inlineStr">
        <is>
          <t>Origin; Season window; Standard/cert; Preservation guidance; Flavor/Texture/Usage</t>
        </is>
      </c>
      <c r="Q83" s="9" t="inlineStr">
        <is>
          <t>Trung bình</t>
        </is>
      </c>
      <c r="R83" s="9" t="inlineStr">
        <is>
          <t>B4</t>
        </is>
      </c>
      <c r="S83" s="9" t="inlineStr">
        <is>
          <t>Rau lá, rau thơm và nhóm thân/mầm; thường có quanh năm nhưng peak và vùng trồng khác nhau.</t>
        </is>
      </c>
      <c r="T83" s="9" t="inlineStr">
        <is>
          <t>Pending</t>
        </is>
      </c>
      <c r="U83" s="9" t="n"/>
      <c r="V83" s="9">
        <f>COUNTIF('Seasonality Evidence'!B:B,A83)</f>
        <v/>
      </c>
      <c r="W83" s="9">
        <f>COUNTIF('Seasonality Evidence'!B:B,A83)</f>
        <v/>
      </c>
      <c r="X83" s="9">
        <f>COUNTIF('Research Evidence'!B:B,A83)</f>
        <v/>
      </c>
      <c r="Y83" s="9" t="n"/>
      <c r="Z83" s="9" t="n"/>
      <c r="AA83" s="9" t="n"/>
      <c r="AB83" s="9" t="n"/>
      <c r="AC83" s="9" t="n"/>
      <c r="AD83" s="9" t="n"/>
      <c r="AE83" s="9" t="n"/>
      <c r="AF83" s="9" t="n"/>
      <c r="AG83" s="9" t="n"/>
      <c r="AH83" s="9" t="n"/>
      <c r="AI83" s="9" t="n"/>
      <c r="AJ83" s="9" t="n"/>
      <c r="AK83" s="9" t="n"/>
    </row>
    <row r="84">
      <c r="A84" s="9" t="n">
        <v>105</v>
      </c>
      <c r="B84" s="9" t="inlineStr">
        <is>
          <t>Rau ăn hoa / thân / mầm</t>
        </is>
      </c>
      <c r="C84" s="9" t="inlineStr">
        <is>
          <t>Bông cải trắng mini</t>
        </is>
      </c>
      <c r="D84" s="9" t="inlineStr">
        <is>
          <t>VEG-BCTM-105</t>
        </is>
      </c>
      <c r="E84" s="9" t="inlineStr">
        <is>
          <t>Đà Lạt, Việt Nam</t>
        </is>
      </c>
      <c r="F84" s="9" t="inlineStr">
        <is>
          <t>VietGAP</t>
        </is>
      </c>
      <c r="G84" s="9" t="inlineStr">
        <is>
          <t>Bảo quản ngăn mát 4-5 ngày</t>
        </is>
      </c>
      <c r="H84" s="9" t="inlineStr">
        <is>
          <t>500g</t>
        </is>
      </c>
      <c r="I84" s="9" t="n">
        <v>5</v>
      </c>
      <c r="J84" s="9" t="inlineStr">
        <is>
          <t>Bông cải trắng mini</t>
        </is>
      </c>
      <c r="K84" s="9" t="inlineStr">
        <is>
          <t>Ngọt dịu</t>
        </is>
      </c>
      <c r="L84" s="9" t="inlineStr">
        <is>
          <t>Tươi</t>
        </is>
      </c>
      <c r="M84" s="9" t="inlineStr">
        <is>
          <t>Xào / nấu canh</t>
        </is>
      </c>
      <c r="N84" s="9" t="inlineStr">
        <is>
          <t>Nội địa</t>
        </is>
      </c>
      <c r="O84" s="9" t="inlineStr">
        <is>
          <t>Origin|Standard|Preservation|Weight|Attributes|Seasonality heuristic</t>
        </is>
      </c>
      <c r="P84" s="9" t="inlineStr">
        <is>
          <t>Origin; Season window; Standard/cert; Preservation guidance; Flavor/Texture/Usage</t>
        </is>
      </c>
      <c r="Q84" s="9" t="inlineStr">
        <is>
          <t>Trung bình</t>
        </is>
      </c>
      <c r="R84" s="9" t="inlineStr">
        <is>
          <t>B4</t>
        </is>
      </c>
      <c r="S84" s="9" t="inlineStr">
        <is>
          <t>Rau lá, rau thơm và nhóm thân/mầm; thường có quanh năm nhưng peak và vùng trồng khác nhau.</t>
        </is>
      </c>
      <c r="T84" s="9" t="inlineStr">
        <is>
          <t>Pending</t>
        </is>
      </c>
      <c r="U84" s="9" t="n"/>
      <c r="V84" s="9">
        <f>COUNTIF('Seasonality Evidence'!B:B,A84)</f>
        <v/>
      </c>
      <c r="W84" s="9">
        <f>COUNTIF('Seasonality Evidence'!B:B,A84)</f>
        <v/>
      </c>
      <c r="X84" s="9">
        <f>COUNTIF('Research Evidence'!B:B,A84)</f>
        <v/>
      </c>
      <c r="Y84" s="9" t="n"/>
      <c r="Z84" s="9" t="n"/>
      <c r="AA84" s="9" t="n"/>
      <c r="AB84" s="9" t="n"/>
      <c r="AC84" s="9" t="n"/>
      <c r="AD84" s="9" t="n"/>
      <c r="AE84" s="9" t="n"/>
      <c r="AF84" s="9" t="n"/>
      <c r="AG84" s="9" t="n"/>
      <c r="AH84" s="9" t="n"/>
      <c r="AI84" s="9" t="n"/>
      <c r="AJ84" s="9" t="n"/>
      <c r="AK84" s="9" t="n"/>
    </row>
    <row r="85">
      <c r="A85" s="9" t="n">
        <v>106</v>
      </c>
      <c r="B85" s="9" t="inlineStr">
        <is>
          <t>Rau ăn quả</t>
        </is>
      </c>
      <c r="C85" s="9" t="inlineStr">
        <is>
          <t>Cà chua beef</t>
        </is>
      </c>
      <c r="D85" s="9" t="inlineStr">
        <is>
          <t>VEG-CTB-106</t>
        </is>
      </c>
      <c r="E85" s="9" t="inlineStr">
        <is>
          <t>Lâm Đồng, Việt Nam</t>
        </is>
      </c>
      <c r="F85" s="9" t="inlineStr">
        <is>
          <t>VietGAP</t>
        </is>
      </c>
      <c r="G85" s="9" t="inlineStr">
        <is>
          <t>Nơi khô mát 5-7 ngày</t>
        </is>
      </c>
      <c r="H85" s="9" t="inlineStr">
        <is>
          <t>800g</t>
        </is>
      </c>
      <c r="I85" s="9" t="n">
        <v>7</v>
      </c>
      <c r="J85" s="9" t="inlineStr">
        <is>
          <t>Cà chua beef to</t>
        </is>
      </c>
      <c r="K85" s="9" t="inlineStr">
        <is>
          <t>Ngọt</t>
        </is>
      </c>
      <c r="L85" s="9" t="inlineStr">
        <is>
          <t>Dày</t>
        </is>
      </c>
      <c r="M85" s="9" t="inlineStr">
        <is>
          <t>Salad / ăn sống</t>
        </is>
      </c>
      <c r="N85" s="9" t="inlineStr">
        <is>
          <t>Nội địa</t>
        </is>
      </c>
      <c r="O85" s="9" t="inlineStr">
        <is>
          <t>Origin|Standard|Preservation|Weight|Attributes|Seasonality heuristic</t>
        </is>
      </c>
      <c r="P85" s="9" t="inlineStr">
        <is>
          <t>Origin; Season window; Standard/cert; Preservation guidance; Flavor/Texture/Usage</t>
        </is>
      </c>
      <c r="Q85" s="9" t="inlineStr">
        <is>
          <t>Trung bình</t>
        </is>
      </c>
      <c r="R85" s="9" t="inlineStr">
        <is>
          <t>B5</t>
        </is>
      </c>
      <c r="S85" s="9" t="inlineStr">
        <is>
          <t>Rau ăn quả, củ/rễ, nấm và nhóm còn lại; kiểm tra seasonality/cultivation theo vùng hoặc mô hình trồng.</t>
        </is>
      </c>
      <c r="T85" s="9" t="inlineStr">
        <is>
          <t>Pending</t>
        </is>
      </c>
      <c r="U85" s="9" t="n"/>
      <c r="V85" s="9">
        <f>COUNTIF('Seasonality Evidence'!B:B,A85)</f>
        <v/>
      </c>
      <c r="W85" s="9">
        <f>COUNTIF('Seasonality Evidence'!B:B,A85)</f>
        <v/>
      </c>
      <c r="X85" s="9">
        <f>COUNTIF('Research Evidence'!B:B,A85)</f>
        <v/>
      </c>
      <c r="Y85" s="9" t="n"/>
      <c r="Z85" s="9" t="n"/>
      <c r="AA85" s="9" t="n"/>
      <c r="AB85" s="9" t="n"/>
      <c r="AC85" s="9" t="n"/>
      <c r="AD85" s="9" t="n"/>
      <c r="AE85" s="9" t="n"/>
      <c r="AF85" s="9" t="n"/>
      <c r="AG85" s="9" t="n"/>
      <c r="AH85" s="9" t="n"/>
      <c r="AI85" s="9" t="n"/>
      <c r="AJ85" s="9" t="n"/>
      <c r="AK85" s="9" t="n"/>
    </row>
    <row r="86">
      <c r="A86" s="9" t="n">
        <v>107</v>
      </c>
      <c r="B86" s="9" t="inlineStr">
        <is>
          <t>Rau ăn quả</t>
        </is>
      </c>
      <c r="C86" s="9" t="inlineStr">
        <is>
          <t>Bí đao</t>
        </is>
      </c>
      <c r="D86" s="9" t="inlineStr">
        <is>
          <t>VEG-BD-107</t>
        </is>
      </c>
      <c r="E86" s="9" t="inlineStr">
        <is>
          <t>Đồng Tháp, Việt Nam</t>
        </is>
      </c>
      <c r="F86" s="9" t="inlineStr">
        <is>
          <t>VietGAP</t>
        </is>
      </c>
      <c r="G86" s="9" t="inlineStr">
        <is>
          <t>Nơi khô thoáng 1-2 tuần</t>
        </is>
      </c>
      <c r="H86" s="9" t="inlineStr">
        <is>
          <t>1-1.5kg</t>
        </is>
      </c>
      <c r="I86" s="9" t="n">
        <v>10</v>
      </c>
      <c r="J86" s="9" t="inlineStr">
        <is>
          <t>Bí đao tươi</t>
        </is>
      </c>
      <c r="K86" s="9" t="inlineStr">
        <is>
          <t>Tự nhiên</t>
        </is>
      </c>
      <c r="L86" s="9" t="inlineStr">
        <is>
          <t>Tươi</t>
        </is>
      </c>
      <c r="M86" s="9" t="inlineStr">
        <is>
          <t>Nấu canh</t>
        </is>
      </c>
      <c r="N86" s="9" t="inlineStr">
        <is>
          <t>Nội địa</t>
        </is>
      </c>
      <c r="O86" s="9" t="inlineStr">
        <is>
          <t>Origin|Standard|Preservation|Weight|Attributes|Seasonality heuristic</t>
        </is>
      </c>
      <c r="P86" s="9" t="inlineStr">
        <is>
          <t>Origin; Season window; Standard/cert; Preservation guidance; Flavor/Texture/Usage</t>
        </is>
      </c>
      <c r="Q86" s="9" t="inlineStr">
        <is>
          <t>Trung bình</t>
        </is>
      </c>
      <c r="R86" s="9" t="inlineStr">
        <is>
          <t>B5</t>
        </is>
      </c>
      <c r="S86" s="9" t="inlineStr">
        <is>
          <t>Rau ăn quả, củ/rễ, nấm và nhóm còn lại; kiểm tra seasonality/cultivation theo vùng hoặc mô hình trồng.</t>
        </is>
      </c>
      <c r="T86" s="9" t="inlineStr">
        <is>
          <t>Pending</t>
        </is>
      </c>
      <c r="U86" s="9" t="n"/>
      <c r="V86" s="9">
        <f>COUNTIF('Seasonality Evidence'!B:B,A86)</f>
        <v/>
      </c>
      <c r="W86" s="9">
        <f>COUNTIF('Seasonality Evidence'!B:B,A86)</f>
        <v/>
      </c>
      <c r="X86" s="9">
        <f>COUNTIF('Research Evidence'!B:B,A86)</f>
        <v/>
      </c>
      <c r="Y86" s="9" t="n"/>
      <c r="Z86" s="9" t="n"/>
      <c r="AA86" s="9" t="n"/>
      <c r="AB86" s="9" t="n"/>
      <c r="AC86" s="9" t="n"/>
      <c r="AD86" s="9" t="n"/>
      <c r="AE86" s="9" t="n"/>
      <c r="AF86" s="9" t="n"/>
      <c r="AG86" s="9" t="n"/>
      <c r="AH86" s="9" t="n"/>
      <c r="AI86" s="9" t="n"/>
      <c r="AJ86" s="9" t="n"/>
      <c r="AK86" s="9" t="n"/>
    </row>
    <row r="87">
      <c r="A87" s="9" t="n">
        <v>108</v>
      </c>
      <c r="B87" s="9" t="inlineStr">
        <is>
          <t>Rau ăn quả</t>
        </is>
      </c>
      <c r="C87" s="9" t="inlineStr">
        <is>
          <t>Đậu que</t>
        </is>
      </c>
      <c r="D87" s="9" t="inlineStr">
        <is>
          <t>VEG-DQ-108</t>
        </is>
      </c>
      <c r="E87" s="9" t="inlineStr">
        <is>
          <t>Đà Lạt, Việt Nam</t>
        </is>
      </c>
      <c r="F87" s="9" t="inlineStr">
        <is>
          <t>VietGAP</t>
        </is>
      </c>
      <c r="G87" s="9" t="inlineStr">
        <is>
          <t>Ngăn mát 4-5 ngày</t>
        </is>
      </c>
      <c r="H87" s="9" t="inlineStr">
        <is>
          <t>400g</t>
        </is>
      </c>
      <c r="I87" s="9" t="n">
        <v>5</v>
      </c>
      <c r="J87" s="9" t="inlineStr">
        <is>
          <t>Đậu que xanh</t>
        </is>
      </c>
      <c r="K87" s="9" t="inlineStr">
        <is>
          <t>Ngọt</t>
        </is>
      </c>
      <c r="L87" s="9" t="inlineStr">
        <is>
          <t>Giòn</t>
        </is>
      </c>
      <c r="M87" s="9" t="inlineStr">
        <is>
          <t>Xào</t>
        </is>
      </c>
      <c r="N87" s="9" t="inlineStr">
        <is>
          <t>Nội địa</t>
        </is>
      </c>
      <c r="O87" s="9" t="inlineStr">
        <is>
          <t>Origin|Standard|Preservation|Weight|Attributes|Seasonality heuristic</t>
        </is>
      </c>
      <c r="P87" s="9" t="inlineStr">
        <is>
          <t>Origin; Season window; Standard/cert; Preservation guidance; Flavor/Texture/Usage</t>
        </is>
      </c>
      <c r="Q87" s="9" t="inlineStr">
        <is>
          <t>Trung bình</t>
        </is>
      </c>
      <c r="R87" s="9" t="inlineStr">
        <is>
          <t>B5</t>
        </is>
      </c>
      <c r="S87" s="9" t="inlineStr">
        <is>
          <t>Rau ăn quả, củ/rễ, nấm và nhóm còn lại; kiểm tra seasonality/cultivation theo vùng hoặc mô hình trồng.</t>
        </is>
      </c>
      <c r="T87" s="9" t="inlineStr">
        <is>
          <t>Pending</t>
        </is>
      </c>
      <c r="U87" s="9" t="n"/>
      <c r="V87" s="9">
        <f>COUNTIF('Seasonality Evidence'!B:B,A87)</f>
        <v/>
      </c>
      <c r="W87" s="9">
        <f>COUNTIF('Seasonality Evidence'!B:B,A87)</f>
        <v/>
      </c>
      <c r="X87" s="9">
        <f>COUNTIF('Research Evidence'!B:B,A87)</f>
        <v/>
      </c>
      <c r="Y87" s="9" t="n"/>
      <c r="Z87" s="9" t="n"/>
      <c r="AA87" s="9" t="n"/>
      <c r="AB87" s="9" t="n"/>
      <c r="AC87" s="9" t="n"/>
      <c r="AD87" s="9" t="n"/>
      <c r="AE87" s="9" t="n"/>
      <c r="AF87" s="9" t="n"/>
      <c r="AG87" s="9" t="n"/>
      <c r="AH87" s="9" t="n"/>
      <c r="AI87" s="9" t="n"/>
      <c r="AJ87" s="9" t="n"/>
      <c r="AK87" s="9" t="n"/>
    </row>
    <row r="88">
      <c r="A88" s="9" t="n">
        <v>109</v>
      </c>
      <c r="B88" s="9" t="inlineStr">
        <is>
          <t>Củ &amp; rễ</t>
        </is>
      </c>
      <c r="C88" s="9" t="inlineStr">
        <is>
          <t>Su hào</t>
        </is>
      </c>
      <c r="D88" s="9" t="inlineStr">
        <is>
          <t>VEG-SH-109</t>
        </is>
      </c>
      <c r="E88" s="9" t="inlineStr">
        <is>
          <t>Đà Lạt, Việt Nam</t>
        </is>
      </c>
      <c r="F88" s="9" t="inlineStr">
        <is>
          <t>VietGAP</t>
        </is>
      </c>
      <c r="G88" s="9" t="inlineStr">
        <is>
          <t>Nơi khô mát 1-2 tuần</t>
        </is>
      </c>
      <c r="H88" s="9" t="inlineStr">
        <is>
          <t>800g</t>
        </is>
      </c>
      <c r="I88" s="9" t="n">
        <v>14</v>
      </c>
      <c r="J88" s="9" t="inlineStr">
        <is>
          <t>Su hào tươi</t>
        </is>
      </c>
      <c r="K88" s="9" t="inlineStr">
        <is>
          <t>Ngọt</t>
        </is>
      </c>
      <c r="L88" s="9" t="inlineStr">
        <is>
          <t>Giòn</t>
        </is>
      </c>
      <c r="M88" s="9" t="inlineStr">
        <is>
          <t>Salad / ăn sống</t>
        </is>
      </c>
      <c r="N88" s="9" t="inlineStr">
        <is>
          <t>Nội địa</t>
        </is>
      </c>
      <c r="O88" s="9" t="inlineStr">
        <is>
          <t>Origin|Standard|Preservation|Weight|Attributes|Seasonality heuristic</t>
        </is>
      </c>
      <c r="P88" s="9" t="inlineStr">
        <is>
          <t>Origin; Season window; Standard/cert; Preservation guidance; Flavor/Texture/Usage</t>
        </is>
      </c>
      <c r="Q88" s="9" t="inlineStr">
        <is>
          <t>Trung bình</t>
        </is>
      </c>
      <c r="R88" s="9" t="inlineStr">
        <is>
          <t>B5</t>
        </is>
      </c>
      <c r="S88" s="9" t="inlineStr">
        <is>
          <t>Rau ăn quả, củ/rễ, nấm và nhóm còn lại; kiểm tra seasonality/cultivation theo vùng hoặc mô hình trồng.</t>
        </is>
      </c>
      <c r="T88" s="9" t="inlineStr">
        <is>
          <t>Pending</t>
        </is>
      </c>
      <c r="U88" s="9" t="n"/>
      <c r="V88" s="9">
        <f>COUNTIF('Seasonality Evidence'!B:B,A88)</f>
        <v/>
      </c>
      <c r="W88" s="9">
        <f>COUNTIF('Seasonality Evidence'!B:B,A88)</f>
        <v/>
      </c>
      <c r="X88" s="9">
        <f>COUNTIF('Research Evidence'!B:B,A88)</f>
        <v/>
      </c>
      <c r="Y88" s="9" t="n"/>
      <c r="Z88" s="9" t="n"/>
      <c r="AA88" s="9" t="n"/>
      <c r="AB88" s="9" t="n"/>
      <c r="AC88" s="9" t="n"/>
      <c r="AD88" s="9" t="n"/>
      <c r="AE88" s="9" t="n"/>
      <c r="AF88" s="9" t="n"/>
      <c r="AG88" s="9" t="n"/>
      <c r="AH88" s="9" t="n"/>
      <c r="AI88" s="9" t="n"/>
      <c r="AJ88" s="9" t="n"/>
      <c r="AK88" s="9" t="n"/>
    </row>
    <row r="89">
      <c r="A89" s="9" t="n">
        <v>110</v>
      </c>
      <c r="B89" s="9" t="inlineStr">
        <is>
          <t>Củ &amp; rễ</t>
        </is>
      </c>
      <c r="C89" s="9" t="inlineStr">
        <is>
          <t>Củ cải đỏ</t>
        </is>
      </c>
      <c r="D89" s="9" t="inlineStr">
        <is>
          <t>VEG-CCD-110</t>
        </is>
      </c>
      <c r="E89" s="9" t="inlineStr">
        <is>
          <t>Đà Lạt, Việt Nam</t>
        </is>
      </c>
      <c r="F89" s="9" t="inlineStr">
        <is>
          <t>GlobalGAP</t>
        </is>
      </c>
      <c r="G89" s="9" t="inlineStr">
        <is>
          <t>Nơi khô mát 1-2 tuần</t>
        </is>
      </c>
      <c r="H89" s="9" t="inlineStr">
        <is>
          <t>600g</t>
        </is>
      </c>
      <c r="I89" s="9" t="n">
        <v>10</v>
      </c>
      <c r="J89" s="9" t="inlineStr">
        <is>
          <t>Củ cải đỏ</t>
        </is>
      </c>
      <c r="K89" s="9" t="inlineStr">
        <is>
          <t>Ngọt</t>
        </is>
      </c>
      <c r="L89" s="9" t="inlineStr">
        <is>
          <t>Tươi</t>
        </is>
      </c>
      <c r="M89" s="9" t="inlineStr">
        <is>
          <t>Salad / ăn sống</t>
        </is>
      </c>
      <c r="N89" s="9" t="inlineStr">
        <is>
          <t>Nội địa</t>
        </is>
      </c>
      <c r="O89" s="9" t="inlineStr">
        <is>
          <t>Origin|Standard|Preservation|Weight|Attributes|Seasonality heuristic</t>
        </is>
      </c>
      <c r="P89" s="9" t="inlineStr">
        <is>
          <t>Origin; Season window; Standard/cert; Preservation guidance; Flavor/Texture/Usage</t>
        </is>
      </c>
      <c r="Q89" s="9" t="inlineStr">
        <is>
          <t>Trung bình</t>
        </is>
      </c>
      <c r="R89" s="9" t="inlineStr">
        <is>
          <t>B5</t>
        </is>
      </c>
      <c r="S89" s="9" t="inlineStr">
        <is>
          <t>Rau ăn quả, củ/rễ, nấm và nhóm còn lại; kiểm tra seasonality/cultivation theo vùng hoặc mô hình trồng.</t>
        </is>
      </c>
      <c r="T89" s="9" t="inlineStr">
        <is>
          <t>Pending</t>
        </is>
      </c>
      <c r="U89" s="9" t="n"/>
      <c r="V89" s="9">
        <f>COUNTIF('Seasonality Evidence'!B:B,A89)</f>
        <v/>
      </c>
      <c r="W89" s="9">
        <f>COUNTIF('Seasonality Evidence'!B:B,A89)</f>
        <v/>
      </c>
      <c r="X89" s="9">
        <f>COUNTIF('Research Evidence'!B:B,A89)</f>
        <v/>
      </c>
      <c r="Y89" s="9" t="n"/>
      <c r="Z89" s="9" t="n"/>
      <c r="AA89" s="9" t="n"/>
      <c r="AB89" s="9" t="n"/>
      <c r="AC89" s="9" t="n"/>
      <c r="AD89" s="9" t="n"/>
      <c r="AE89" s="9" t="n"/>
      <c r="AF89" s="9" t="n"/>
      <c r="AG89" s="9" t="n"/>
      <c r="AH89" s="9" t="n"/>
      <c r="AI89" s="9" t="n"/>
      <c r="AJ89" s="9" t="n"/>
      <c r="AK89" s="9" t="n"/>
    </row>
    <row r="90">
      <c r="A90" s="9" t="n">
        <v>111</v>
      </c>
      <c r="B90" s="9" t="inlineStr">
        <is>
          <t>Nấm</t>
        </is>
      </c>
      <c r="C90" s="9" t="inlineStr">
        <is>
          <t>Nấm đùi gà tươi</t>
        </is>
      </c>
      <c r="D90" s="9" t="inlineStr">
        <is>
          <t>VEG-NDGT-111</t>
        </is>
      </c>
      <c r="E90" s="9" t="inlineStr">
        <is>
          <t>Lâm Đồng, Việt Nam</t>
        </is>
      </c>
      <c r="F90" s="9" t="inlineStr">
        <is>
          <t>VietGAP</t>
        </is>
      </c>
      <c r="G90" s="9" t="inlineStr">
        <is>
          <t>Ngăn mát 2-3 ngày</t>
        </is>
      </c>
      <c r="H90" s="9" t="inlineStr">
        <is>
          <t>350g</t>
        </is>
      </c>
      <c r="I90" s="9" t="n">
        <v>3</v>
      </c>
      <c r="J90" s="9" t="inlineStr">
        <is>
          <t>Nấm đùi gà cao cấp</t>
        </is>
      </c>
      <c r="K90" s="9" t="inlineStr">
        <is>
          <t>Tự nhiên</t>
        </is>
      </c>
      <c r="L90" s="9" t="inlineStr">
        <is>
          <t>Tươi</t>
        </is>
      </c>
      <c r="M90" s="9" t="inlineStr">
        <is>
          <t>Xào</t>
        </is>
      </c>
      <c r="N90" s="9" t="inlineStr">
        <is>
          <t>Nội địa</t>
        </is>
      </c>
      <c r="O90" s="9" t="inlineStr">
        <is>
          <t>Origin|Standard|Preservation|Weight|Attributes|Seasonality heuristic</t>
        </is>
      </c>
      <c r="P90" s="9" t="inlineStr">
        <is>
          <t>Origin; Season window; Standard/cert; Preservation guidance; Flavor/Texture/Usage</t>
        </is>
      </c>
      <c r="Q90" s="9" t="inlineStr">
        <is>
          <t>Trung bình</t>
        </is>
      </c>
      <c r="R90" s="9" t="inlineStr">
        <is>
          <t>B5</t>
        </is>
      </c>
      <c r="S90" s="9" t="inlineStr">
        <is>
          <t>Rau ăn quả, củ/rễ, nấm và nhóm còn lại; kiểm tra seasonality/cultivation theo vùng hoặc mô hình trồng.</t>
        </is>
      </c>
      <c r="T90" s="9" t="inlineStr">
        <is>
          <t>Pending</t>
        </is>
      </c>
      <c r="U90" s="9" t="n"/>
      <c r="V90" s="9">
        <f>COUNTIF('Seasonality Evidence'!B:B,A90)</f>
        <v/>
      </c>
      <c r="W90" s="9">
        <f>COUNTIF('Seasonality Evidence'!B:B,A90)</f>
        <v/>
      </c>
      <c r="X90" s="9">
        <f>COUNTIF('Research Evidence'!B:B,A90)</f>
        <v/>
      </c>
      <c r="Y90" s="9" t="n"/>
      <c r="Z90" s="9" t="n"/>
      <c r="AA90" s="9" t="n"/>
      <c r="AB90" s="9" t="n"/>
      <c r="AC90" s="9" t="n"/>
      <c r="AD90" s="9" t="n"/>
      <c r="AE90" s="9" t="n"/>
      <c r="AF90" s="9" t="n"/>
      <c r="AG90" s="9" t="n"/>
      <c r="AH90" s="9" t="n"/>
      <c r="AI90" s="9" t="n"/>
      <c r="AJ90" s="9" t="n"/>
      <c r="AK90" s="9" t="n"/>
    </row>
    <row r="91">
      <c r="A91" s="9" t="n">
        <v>112</v>
      </c>
      <c r="B91" s="9" t="inlineStr">
        <is>
          <t>Nấm</t>
        </is>
      </c>
      <c r="C91" s="9" t="inlineStr">
        <is>
          <t>Nấm hương tươi</t>
        </is>
      </c>
      <c r="D91" s="9" t="inlineStr">
        <is>
          <t>VEG-NHT-112</t>
        </is>
      </c>
      <c r="E91" s="9" t="inlineStr">
        <is>
          <t>Đà Lạt, Việt Nam</t>
        </is>
      </c>
      <c r="F91" s="9" t="inlineStr">
        <is>
          <t>VietGAP</t>
        </is>
      </c>
      <c r="G91" s="9" t="inlineStr">
        <is>
          <t>Ngăn mát 3-4 ngày</t>
        </is>
      </c>
      <c r="H91" s="9" t="inlineStr">
        <is>
          <t>300g</t>
        </is>
      </c>
      <c r="I91" s="9" t="n">
        <v>4</v>
      </c>
      <c r="J91" s="9" t="inlineStr">
        <is>
          <t>Nấm hương tươi</t>
        </is>
      </c>
      <c r="K91" s="9" t="inlineStr">
        <is>
          <t>Tự nhiên</t>
        </is>
      </c>
      <c r="L91" s="9" t="inlineStr">
        <is>
          <t>Tươi</t>
        </is>
      </c>
      <c r="M91" s="9" t="inlineStr">
        <is>
          <t>Xào / nấu canh</t>
        </is>
      </c>
      <c r="N91" s="9" t="inlineStr">
        <is>
          <t>Nội địa</t>
        </is>
      </c>
      <c r="O91" s="9" t="inlineStr">
        <is>
          <t>Origin|Standard|Preservation|Weight|Attributes|Seasonality heuristic</t>
        </is>
      </c>
      <c r="P91" s="9" t="inlineStr">
        <is>
          <t>Origin; Season window; Standard/cert; Preservation guidance; Flavor/Texture/Usage</t>
        </is>
      </c>
      <c r="Q91" s="9" t="inlineStr">
        <is>
          <t>Trung bình</t>
        </is>
      </c>
      <c r="R91" s="9" t="inlineStr">
        <is>
          <t>B5</t>
        </is>
      </c>
      <c r="S91" s="9" t="inlineStr">
        <is>
          <t>Rau ăn quả, củ/rễ, nấm và nhóm còn lại; kiểm tra seasonality/cultivation theo vùng hoặc mô hình trồng.</t>
        </is>
      </c>
      <c r="T91" s="9" t="inlineStr">
        <is>
          <t>Pending</t>
        </is>
      </c>
      <c r="U91" s="9" t="n"/>
      <c r="V91" s="9">
        <f>COUNTIF('Seasonality Evidence'!B:B,A91)</f>
        <v/>
      </c>
      <c r="W91" s="9">
        <f>COUNTIF('Seasonality Evidence'!B:B,A91)</f>
        <v/>
      </c>
      <c r="X91" s="9">
        <f>COUNTIF('Research Evidence'!B:B,A91)</f>
        <v/>
      </c>
      <c r="Y91" s="9" t="n"/>
      <c r="Z91" s="9" t="n"/>
      <c r="AA91" s="9" t="n"/>
      <c r="AB91" s="9" t="n"/>
      <c r="AC91" s="9" t="n"/>
      <c r="AD91" s="9" t="n"/>
      <c r="AE91" s="9" t="n"/>
      <c r="AF91" s="9" t="n"/>
      <c r="AG91" s="9" t="n"/>
      <c r="AH91" s="9" t="n"/>
      <c r="AI91" s="9" t="n"/>
      <c r="AJ91" s="9" t="n"/>
      <c r="AK91" s="9" t="n"/>
    </row>
    <row r="92">
      <c r="A92" s="9" t="n">
        <v>113</v>
      </c>
      <c r="B92" s="9" t="inlineStr">
        <is>
          <t>Rau thơm &amp; gia vị</t>
        </is>
      </c>
      <c r="C92" s="9" t="inlineStr">
        <is>
          <t>Ngò gai</t>
        </is>
      </c>
      <c r="D92" s="9" t="inlineStr">
        <is>
          <t>VEG-NG-113</t>
        </is>
      </c>
      <c r="E92" s="9" t="inlineStr">
        <is>
          <t>Long An, Việt Nam</t>
        </is>
      </c>
      <c r="F92" s="9" t="inlineStr">
        <is>
          <t>VietGAP</t>
        </is>
      </c>
      <c r="G92" s="9" t="inlineStr">
        <is>
          <t>Ngăn mát 2 ngày</t>
        </is>
      </c>
      <c r="H92" s="9" t="inlineStr">
        <is>
          <t>100g</t>
        </is>
      </c>
      <c r="I92" s="9" t="n">
        <v>2</v>
      </c>
      <c r="J92" s="9" t="inlineStr">
        <is>
          <t>Ngò gai thơm</t>
        </is>
      </c>
      <c r="K92" s="9" t="inlineStr">
        <is>
          <t>Tự nhiên</t>
        </is>
      </c>
      <c r="L92" s="9" t="inlineStr">
        <is>
          <t>Tươi</t>
        </is>
      </c>
      <c r="M92" s="9" t="inlineStr">
        <is>
          <t>Đa dụng</t>
        </is>
      </c>
      <c r="N92" s="9" t="inlineStr">
        <is>
          <t>Nội địa</t>
        </is>
      </c>
      <c r="O92" s="9" t="inlineStr">
        <is>
          <t>Origin|Standard|Preservation|Weight|Attributes|Seasonality heuristic</t>
        </is>
      </c>
      <c r="P92" s="9" t="inlineStr">
        <is>
          <t>Origin; Season window; Standard/cert; Preservation guidance; Flavor/Texture/Usage</t>
        </is>
      </c>
      <c r="Q92" s="9" t="inlineStr">
        <is>
          <t>Trung bình</t>
        </is>
      </c>
      <c r="R92" s="9" t="inlineStr">
        <is>
          <t>B4</t>
        </is>
      </c>
      <c r="S92" s="9" t="inlineStr">
        <is>
          <t>Rau lá, rau thơm và nhóm thân/mầm; thường có quanh năm nhưng peak và vùng trồng khác nhau.</t>
        </is>
      </c>
      <c r="T92" s="9" t="inlineStr">
        <is>
          <t>Pending</t>
        </is>
      </c>
      <c r="U92" s="9" t="n"/>
      <c r="V92" s="9">
        <f>COUNTIF('Seasonality Evidence'!B:B,A92)</f>
        <v/>
      </c>
      <c r="W92" s="9">
        <f>COUNTIF('Seasonality Evidence'!B:B,A92)</f>
        <v/>
      </c>
      <c r="X92" s="9">
        <f>COUNTIF('Research Evidence'!B:B,A92)</f>
        <v/>
      </c>
      <c r="Y92" s="9" t="n"/>
      <c r="Z92" s="9" t="n"/>
      <c r="AA92" s="9" t="n"/>
      <c r="AB92" s="9" t="n"/>
      <c r="AC92" s="9" t="n"/>
      <c r="AD92" s="9" t="n"/>
      <c r="AE92" s="9" t="n"/>
      <c r="AF92" s="9" t="n"/>
      <c r="AG92" s="9" t="n"/>
      <c r="AH92" s="9" t="n"/>
      <c r="AI92" s="9" t="n"/>
      <c r="AJ92" s="9" t="n"/>
      <c r="AK92" s="9" t="n"/>
    </row>
    <row r="93">
      <c r="A93" s="9" t="n">
        <v>114</v>
      </c>
      <c r="B93" s="9" t="inlineStr">
        <is>
          <t>Rau thơm &amp; gia vị</t>
        </is>
      </c>
      <c r="C93" s="9" t="inlineStr">
        <is>
          <t>Rau húng</t>
        </is>
      </c>
      <c r="D93" s="9" t="inlineStr">
        <is>
          <t>VEG-RH-114</t>
        </is>
      </c>
      <c r="E93" s="9" t="inlineStr">
        <is>
          <t>Tiền Giang, Việt Nam</t>
        </is>
      </c>
      <c r="F93" s="9" t="inlineStr">
        <is>
          <t>VietGAP</t>
        </is>
      </c>
      <c r="G93" s="9" t="inlineStr">
        <is>
          <t>Ngăn mát 2 ngày</t>
        </is>
      </c>
      <c r="H93" s="9" t="inlineStr">
        <is>
          <t>100g</t>
        </is>
      </c>
      <c r="I93" s="9" t="n">
        <v>2</v>
      </c>
      <c r="J93" s="9" t="inlineStr">
        <is>
          <t>Rau húng tươi</t>
        </is>
      </c>
      <c r="K93" s="9" t="inlineStr">
        <is>
          <t>Tự nhiên</t>
        </is>
      </c>
      <c r="L93" s="9" t="inlineStr">
        <is>
          <t>Tươi</t>
        </is>
      </c>
      <c r="M93" s="9" t="inlineStr">
        <is>
          <t>Đa dụng</t>
        </is>
      </c>
      <c r="N93" s="9" t="inlineStr">
        <is>
          <t>Nội địa</t>
        </is>
      </c>
      <c r="O93" s="9" t="inlineStr">
        <is>
          <t>Origin|Standard|Preservation|Weight|Attributes|Seasonality heuristic</t>
        </is>
      </c>
      <c r="P93" s="9" t="inlineStr">
        <is>
          <t>Origin; Season window; Standard/cert; Preservation guidance; Flavor/Texture/Usage</t>
        </is>
      </c>
      <c r="Q93" s="9" t="inlineStr">
        <is>
          <t>Trung bình</t>
        </is>
      </c>
      <c r="R93" s="9" t="inlineStr">
        <is>
          <t>B4</t>
        </is>
      </c>
      <c r="S93" s="9" t="inlineStr">
        <is>
          <t>Rau lá, rau thơm và nhóm thân/mầm; thường có quanh năm nhưng peak và vùng trồng khác nhau.</t>
        </is>
      </c>
      <c r="T93" s="9" t="inlineStr">
        <is>
          <t>Pending</t>
        </is>
      </c>
      <c r="U93" s="9" t="n"/>
      <c r="V93" s="9">
        <f>COUNTIF('Seasonality Evidence'!B:B,A93)</f>
        <v/>
      </c>
      <c r="W93" s="9">
        <f>COUNTIF('Seasonality Evidence'!B:B,A93)</f>
        <v/>
      </c>
      <c r="X93" s="9">
        <f>COUNTIF('Research Evidence'!B:B,A93)</f>
        <v/>
      </c>
      <c r="Y93" s="9" t="n"/>
      <c r="Z93" s="9" t="n"/>
      <c r="AA93" s="9" t="n"/>
      <c r="AB93" s="9" t="n"/>
      <c r="AC93" s="9" t="n"/>
      <c r="AD93" s="9" t="n"/>
      <c r="AE93" s="9" t="n"/>
      <c r="AF93" s="9" t="n"/>
      <c r="AG93" s="9" t="n"/>
      <c r="AH93" s="9" t="n"/>
      <c r="AI93" s="9" t="n"/>
      <c r="AJ93" s="9" t="n"/>
      <c r="AK93" s="9" t="n"/>
    </row>
    <row r="94">
      <c r="A94" s="9" t="n">
        <v>115</v>
      </c>
      <c r="B94" s="9" t="inlineStr">
        <is>
          <t>Rau thơm &amp; gia vị</t>
        </is>
      </c>
      <c r="C94" s="9" t="inlineStr">
        <is>
          <t>Tỏi tây</t>
        </is>
      </c>
      <c r="D94" s="9" t="inlineStr">
        <is>
          <t>VEG-TT-115</t>
        </is>
      </c>
      <c r="E94" s="9" t="inlineStr">
        <is>
          <t>Trung Quốc</t>
        </is>
      </c>
      <c r="F94" s="9" t="inlineStr">
        <is>
          <t>Import</t>
        </is>
      </c>
      <c r="G94" s="9" t="inlineStr">
        <is>
          <t>Nơi khô thoáng 2-3 tháng</t>
        </is>
      </c>
      <c r="H94" s="9" t="inlineStr">
        <is>
          <t>500g</t>
        </is>
      </c>
      <c r="I94" s="9" t="n">
        <v>30</v>
      </c>
      <c r="J94" s="9" t="inlineStr">
        <is>
          <t>Tỏi tây nhập khẩu</t>
        </is>
      </c>
      <c r="K94" s="9" t="inlineStr">
        <is>
          <t>Tự nhiên</t>
        </is>
      </c>
      <c r="L94" s="9" t="inlineStr">
        <is>
          <t>Tươi</t>
        </is>
      </c>
      <c r="M94" s="9" t="inlineStr">
        <is>
          <t>Đa dụng</t>
        </is>
      </c>
      <c r="N94" s="9" t="inlineStr">
        <is>
          <t>Nước ngoài / cần kiểm tra</t>
        </is>
      </c>
      <c r="O94" s="9" t="inlineStr">
        <is>
          <t>Origin|Standard|Preservation|Weight|Attributes|Seasonality heuristic</t>
        </is>
      </c>
      <c r="P94" s="9" t="inlineStr">
        <is>
          <t>Origin; Season window; Standard/cert; Preservation guidance; Flavor/Texture/Usage</t>
        </is>
      </c>
      <c r="Q94" s="9" t="inlineStr">
        <is>
          <t>Cao</t>
        </is>
      </c>
      <c r="R94" s="9" t="inlineStr">
        <is>
          <t>B2</t>
        </is>
      </c>
      <c r="S94" s="9" t="inlineStr">
        <is>
          <t>Hàng nhập khẩu/hybrid origin/non-fruit cần nguồn gốc rất chặt và note rõ mức chắc chắn.</t>
        </is>
      </c>
      <c r="T94" s="9" t="inlineStr">
        <is>
          <t>Partially verified - batch 2</t>
        </is>
      </c>
      <c r="U94" s="9" t="inlineStr">
        <is>
          <t>Chưa đủ nguồn uy tín để chốt mùa vụ tỏi tây nhập từ Trung Quốc. Tạm ghi nhóm Allium trồng rộng tại Trung Quốc, cần kiểm chứng theo nhà cung cấp/lô nhập.</t>
        </is>
      </c>
      <c r="V94" s="9" t="n">
        <v>1</v>
      </c>
      <c r="W94" s="9" t="n">
        <v>1</v>
      </c>
      <c r="X94" s="9" t="n">
        <v>1</v>
      </c>
      <c r="Y94" s="9" t="inlineStr">
        <is>
          <t>China</t>
        </is>
      </c>
      <c r="Z94" s="9" t="inlineStr">
        <is>
          <t>China; exact province unverified</t>
        </is>
      </c>
      <c r="AA94" s="9" t="inlineStr">
        <is>
          <t>Imported</t>
        </is>
      </c>
      <c r="AB94" s="9" t="inlineStr">
        <is>
          <t>Import label chưa kiểm chứng bằng chứng từ</t>
        </is>
      </c>
      <c r="AC94" s="9" t="inlineStr">
        <is>
          <t>Nên bảo quản mát cho rau tươi; dữ liệu 'khô thoáng 2-3 tháng' cần kiểm tra lại vì có vẻ không phù hợp tỏi tây tươi.</t>
        </is>
      </c>
      <c r="AD94" s="9" t="inlineStr">
        <is>
          <t>Hành nhẹ, ngọt nhẹ</t>
        </is>
      </c>
      <c r="AE94" s="9" t="inlineStr">
        <is>
          <t>Thân/lá tươi, giòn khi mới thu</t>
        </is>
      </c>
      <c r="AF94" s="9" t="inlineStr">
        <is>
          <t>Xào, nấu súp, hầm</t>
        </is>
      </c>
      <c r="AG94" s="9" t="inlineStr">
        <is>
          <t>https://www.ishs.org/ishs-article/358_19</t>
        </is>
      </c>
      <c r="AH94" s="9" t="inlineStr">
        <is>
          <t>https://edibleplantdb.org/plants/536/allium-ampeloprasum-var-porrum</t>
        </is>
      </c>
      <c r="AI94" s="9" t="inlineStr">
        <is>
          <t>2026-04-24 21:12:38 ICT</t>
        </is>
      </c>
      <c r="AJ94" s="9" t="inlineStr">
        <is>
          <t>Nguồn chưa xác nhận riêng mùa vụ tỏi tây Trung Quốc; preservation hiện tại có khả năng sai cho hàng tươi.</t>
        </is>
      </c>
      <c r="AK94" s="9" t="inlineStr">
        <is>
          <t>Cần chứng từ nhập khẩu hoặc thông tin nhà cung cấp trước khi dùng cho seasonality.</t>
        </is>
      </c>
    </row>
    <row r="95">
      <c r="A95" s="9" t="n">
        <v>116</v>
      </c>
      <c r="B95" s="9" t="inlineStr">
        <is>
          <t>Trái cây</t>
        </is>
      </c>
      <c r="C95" s="9" t="inlineStr">
        <is>
          <t>Chuối già Việt Nam</t>
        </is>
      </c>
      <c r="D95" s="9" t="inlineStr">
        <is>
          <t>FRUIT-CGV-116</t>
        </is>
      </c>
      <c r="E95" s="9" t="inlineStr">
        <is>
          <t>Tiền Giang, Việt Nam</t>
        </is>
      </c>
      <c r="F95" s="9" t="inlineStr">
        <is>
          <t>VietGAP</t>
        </is>
      </c>
      <c r="G95" s="9" t="inlineStr">
        <is>
          <t>Nơi khô thoáng 5-7 ngày</t>
        </is>
      </c>
      <c r="H95" s="9" t="inlineStr">
        <is>
          <t>1kg</t>
        </is>
      </c>
      <c r="I95" s="9" t="n">
        <v>7</v>
      </c>
      <c r="J95" s="9" t="inlineStr">
        <is>
          <t>Chuối già ngọt</t>
        </is>
      </c>
      <c r="K95" s="9" t="inlineStr">
        <is>
          <t>Ngọt</t>
        </is>
      </c>
      <c r="L95" s="9" t="inlineStr">
        <is>
          <t>Tươi</t>
        </is>
      </c>
      <c r="M95" s="9" t="inlineStr">
        <is>
          <t>Đa dụng</t>
        </is>
      </c>
      <c r="N95" s="9" t="inlineStr">
        <is>
          <t>Nội địa</t>
        </is>
      </c>
      <c r="O95" s="9" t="inlineStr">
        <is>
          <t>Origin|Standard|Preservation|Weight|Attributes|Seasonality heuristic</t>
        </is>
      </c>
      <c r="P95" s="9" t="inlineStr">
        <is>
          <t>Origin; Season window; Standard/cert; Preservation guidance; Flavor/Texture/Usage</t>
        </is>
      </c>
      <c r="Q95" s="9" t="inlineStr">
        <is>
          <t>Trung bình</t>
        </is>
      </c>
      <c r="R95" s="9" t="inlineStr">
        <is>
          <t>B3</t>
        </is>
      </c>
      <c r="S95" s="9" t="inlineStr">
        <is>
          <t>Trái cây nội địa và đặc sản vùng miền, ưu tiên peak season + khác biệt theo tỉnh/vùng.</t>
        </is>
      </c>
      <c r="T95" s="9" t="inlineStr">
        <is>
          <t>Partially verified - batch 3</t>
        </is>
      </c>
      <c r="U95" s="9" t="inlineStr">
        <is>
          <t>Chuối có thể thu hoạch quanh năm, sản lượng nhiều từ tháng 1-4 theo nguồn khuyến nông; chưa có nguồn riêng đủ mạnh cho chuối già Tiền Giang.</t>
        </is>
      </c>
      <c r="V95" s="9">
        <f>COUNTIF('Seasonality Evidence'!B:B,A95)</f>
        <v/>
      </c>
      <c r="W95" s="9">
        <f>COUNTIF('Seasonality Evidence'!B:B,A95)</f>
        <v/>
      </c>
      <c r="X95" s="9">
        <f>COUNTIF('Research Evidence'!B:B,A95)</f>
        <v/>
      </c>
      <c r="Y95" s="9" t="inlineStr">
        <is>
          <t>Vietnam</t>
        </is>
      </c>
      <c r="Z95" s="9" t="inlineStr">
        <is>
          <t>Tiền Giang (catalog); season source from regional banana context</t>
        </is>
      </c>
      <c r="AA95" s="9" t="inlineStr">
        <is>
          <t>Domestic</t>
        </is>
      </c>
      <c r="AB95" s="9" t="n"/>
      <c r="AC95" s="9" t="n"/>
      <c r="AD95" s="9" t="n"/>
      <c r="AE95" s="9" t="n"/>
      <c r="AF95" s="9" t="n"/>
      <c r="AG95" s="9" t="inlineStr">
        <is>
          <t>https://khuyennongvn.gov.vn/thong-tin-thi-truong/thi-truong-trong-nuoc/dong-thap-gia-chuoi-tang-nong-dan-van-lo-14376.html</t>
        </is>
      </c>
      <c r="AH95" s="9" t="inlineStr"/>
      <c r="AI95" s="9" t="inlineStr">
        <is>
          <t>2026-04-24 21:05:08 ICT</t>
        </is>
      </c>
      <c r="AJ95" s="9" t="inlineStr">
        <is>
          <t>Nguồn mùa vụ không riêng Tiền Giang và không tách riêng chuối già; cần kiểm thêm nếu dùng cho rule chính thức.</t>
        </is>
      </c>
      <c r="AK95" s="9" t="n"/>
    </row>
    <row r="96">
      <c r="A96" s="9" t="n">
        <v>117</v>
      </c>
      <c r="B96" s="9" t="inlineStr">
        <is>
          <t>Trái cây</t>
        </is>
      </c>
      <c r="C96" s="9" t="inlineStr">
        <is>
          <t>Ổi xá lị</t>
        </is>
      </c>
      <c r="D96" s="9" t="inlineStr">
        <is>
          <t>FRUIT-OXL-117</t>
        </is>
      </c>
      <c r="E96" s="9" t="inlineStr">
        <is>
          <t>Long An, Việt Nam</t>
        </is>
      </c>
      <c r="F96" s="9" t="inlineStr">
        <is>
          <t>VietGAP</t>
        </is>
      </c>
      <c r="G96" s="9" t="inlineStr">
        <is>
          <t>Nơi khô mát 7-10 ngày</t>
        </is>
      </c>
      <c r="H96" s="9" t="inlineStr">
        <is>
          <t>600g</t>
        </is>
      </c>
      <c r="I96" s="9" t="n">
        <v>10</v>
      </c>
      <c r="J96" s="9" t="inlineStr">
        <is>
          <t>Ổi xá lị giòn</t>
        </is>
      </c>
      <c r="K96" s="9" t="inlineStr">
        <is>
          <t>Ngọt</t>
        </is>
      </c>
      <c r="L96" s="9" t="inlineStr">
        <is>
          <t>Giòn</t>
        </is>
      </c>
      <c r="M96" s="9" t="inlineStr">
        <is>
          <t>Nấu canh</t>
        </is>
      </c>
      <c r="N96" s="9" t="inlineStr">
        <is>
          <t>Nội địa</t>
        </is>
      </c>
      <c r="O96" s="9" t="inlineStr">
        <is>
          <t>Origin|Standard|Preservation|Weight|Attributes|Seasonality heuristic</t>
        </is>
      </c>
      <c r="P96" s="9" t="inlineStr">
        <is>
          <t>Origin; Season window; Standard/cert; Preservation guidance; Flavor/Texture/Usage</t>
        </is>
      </c>
      <c r="Q96" s="9" t="inlineStr">
        <is>
          <t>Trung bình</t>
        </is>
      </c>
      <c r="R96" s="9" t="inlineStr">
        <is>
          <t>B3</t>
        </is>
      </c>
      <c r="S96" s="9" t="inlineStr">
        <is>
          <t>Trái cây nội địa và đặc sản vùng miền, ưu tiên peak season + khác biệt theo tỉnh/vùng.</t>
        </is>
      </c>
      <c r="T96" s="9" t="inlineStr">
        <is>
          <t>Partially verified - batch 3</t>
        </is>
      </c>
      <c r="U96" s="9" t="inlineStr">
        <is>
          <t>Chưa có mùa vụ đủ mạnh cho ổi xá lị Long An; mới xác nhận bối cảnh có mô hình trồng ổi tại Long An ở mức báo địa phương.</t>
        </is>
      </c>
      <c r="V96" s="9">
        <f>COUNTIF('Seasonality Evidence'!B:B,A96)</f>
        <v/>
      </c>
      <c r="W96" s="9">
        <f>COUNTIF('Seasonality Evidence'!B:B,A96)</f>
        <v/>
      </c>
      <c r="X96" s="9">
        <f>COUNTIF('Research Evidence'!B:B,A96)</f>
        <v/>
      </c>
      <c r="Y96" s="9" t="inlineStr">
        <is>
          <t>Vietnam</t>
        </is>
      </c>
      <c r="Z96" s="9" t="inlineStr">
        <is>
          <t>Long An</t>
        </is>
      </c>
      <c r="AA96" s="9" t="inlineStr">
        <is>
          <t>Domestic</t>
        </is>
      </c>
      <c r="AB96" s="9" t="n"/>
      <c r="AC96" s="9" t="n"/>
      <c r="AD96" s="9" t="n"/>
      <c r="AE96" s="9" t="n"/>
      <c r="AF96" s="9" t="n"/>
      <c r="AG96" s="9" t="inlineStr">
        <is>
          <t>https://baolongan.vn/lan-toa-phong-trao-khoi-nghiep-a41165.html</t>
        </is>
      </c>
      <c r="AH96" s="9" t="inlineStr"/>
      <c r="AI96" s="9" t="inlineStr">
        <is>
          <t>2026-04-24 21:05:08 ICT</t>
        </is>
      </c>
      <c r="AJ96" s="9" t="inlineStr">
        <is>
          <t>Chưa đủ nguồn để chốt mùa vụ/đặc tính riêng ổi xá lị Long An.</t>
        </is>
      </c>
      <c r="AK96" s="9" t="n"/>
    </row>
    <row r="97">
      <c r="A97" s="9" t="n">
        <v>118</v>
      </c>
      <c r="B97" s="9" t="inlineStr">
        <is>
          <t>Trái cây</t>
        </is>
      </c>
      <c r="C97" s="9" t="inlineStr">
        <is>
          <t>Dưa hấu không hạt mini</t>
        </is>
      </c>
      <c r="D97" s="9" t="inlineStr">
        <is>
          <t>FRUIT-DHM-118</t>
        </is>
      </c>
      <c r="E97" s="9" t="inlineStr">
        <is>
          <t>Long An, Việt Nam</t>
        </is>
      </c>
      <c r="F97" s="9" t="inlineStr">
        <is>
          <t>VietGAP</t>
        </is>
      </c>
      <c r="G97" s="9" t="inlineStr">
        <is>
          <t>Nơi khô mát 1 tuần</t>
        </is>
      </c>
      <c r="H97" s="9" t="inlineStr">
        <is>
          <t>1.5-2kg</t>
        </is>
      </c>
      <c r="I97" s="9" t="n">
        <v>7</v>
      </c>
      <c r="J97" s="9" t="inlineStr">
        <is>
          <t>Dưa hấu mini</t>
        </is>
      </c>
      <c r="K97" s="9" t="inlineStr">
        <is>
          <t>Ngọt</t>
        </is>
      </c>
      <c r="L97" s="9" t="inlineStr">
        <is>
          <t>Tươi</t>
        </is>
      </c>
      <c r="M97" s="9" t="inlineStr">
        <is>
          <t>Đa dụng</t>
        </is>
      </c>
      <c r="N97" s="9" t="inlineStr">
        <is>
          <t>Nội địa</t>
        </is>
      </c>
      <c r="O97" s="9" t="inlineStr">
        <is>
          <t>Origin|Standard|Preservation|Weight|Attributes|Seasonality heuristic</t>
        </is>
      </c>
      <c r="P97" s="9" t="inlineStr">
        <is>
          <t>Origin; Season window; Standard/cert; Preservation guidance; Flavor/Texture/Usage</t>
        </is>
      </c>
      <c r="Q97" s="9" t="inlineStr">
        <is>
          <t>Trung bình</t>
        </is>
      </c>
      <c r="R97" s="9" t="inlineStr">
        <is>
          <t>B3</t>
        </is>
      </c>
      <c r="S97" s="9" t="inlineStr">
        <is>
          <t>Trái cây nội địa và đặc sản vùng miền, ưu tiên peak season + khác biệt theo tỉnh/vùng.</t>
        </is>
      </c>
      <c r="T97" s="9" t="inlineStr">
        <is>
          <t>Partially verified - batch 3</t>
        </is>
      </c>
      <c r="U97" s="9" t="inlineStr">
        <is>
          <t>Long An: có vụ dưa hấu Tết tại Vĩnh Hưng, dự kiến thu hoạch giữa tháng Chạp; chưa có nguồn tách riêng giống không hạt mini.</t>
        </is>
      </c>
      <c r="V97" s="9">
        <f>COUNTIF('Seasonality Evidence'!B:B,A97)</f>
        <v/>
      </c>
      <c r="W97" s="9">
        <f>COUNTIF('Seasonality Evidence'!B:B,A97)</f>
        <v/>
      </c>
      <c r="X97" s="9">
        <f>COUNTIF('Research Evidence'!B:B,A97)</f>
        <v/>
      </c>
      <c r="Y97" s="9" t="inlineStr">
        <is>
          <t>Vietnam</t>
        </is>
      </c>
      <c r="Z97" s="9" t="inlineStr">
        <is>
          <t>Long An - Vĩnh Hưng/Tân Trụ/Long Trì context</t>
        </is>
      </c>
      <c r="AA97" s="9" t="inlineStr">
        <is>
          <t>Domestic</t>
        </is>
      </c>
      <c r="AB97" s="9" t="n"/>
      <c r="AC97" s="9" t="n"/>
      <c r="AD97" s="9" t="n"/>
      <c r="AE97" s="9" t="n"/>
      <c r="AF97" s="9" t="n"/>
      <c r="AG97" s="9" t="inlineStr">
        <is>
          <t>https://baolongan.vn/vinh-hung-nong-dan-gieo-trong-hon-250ha-dua-hau-phuc-vu-thi-truong-tet-a186458.html</t>
        </is>
      </c>
      <c r="AH97" s="9" t="inlineStr">
        <is>
          <t>https://baolongan.vn/goc-anh-long-an-que-huong-toi-dua-hau-long-an-a180898.html</t>
        </is>
      </c>
      <c r="AI97" s="9" t="inlineStr">
        <is>
          <t>2026-04-24 21:05:08 ICT</t>
        </is>
      </c>
      <c r="AJ97" s="9" t="inlineStr">
        <is>
          <t>Nguồn xác nhận dưa hấu Long An/vụ Tết nhưng chưa tách riêng giống không hạt mini.</t>
        </is>
      </c>
      <c r="AK97" s="9" t="n"/>
    </row>
    <row r="98">
      <c r="A98" s="9" t="n">
        <v>119</v>
      </c>
      <c r="B98" s="9" t="inlineStr">
        <is>
          <t>Trái cây</t>
        </is>
      </c>
      <c r="C98" s="9" t="inlineStr">
        <is>
          <t>Thanh long ruột trắng</t>
        </is>
      </c>
      <c r="D98" s="9" t="inlineStr">
        <is>
          <t>FRUIT-TLT-119</t>
        </is>
      </c>
      <c r="E98" s="9" t="inlineStr">
        <is>
          <t>Bình Thuận, Việt Nam</t>
        </is>
      </c>
      <c r="F98" s="9" t="inlineStr">
        <is>
          <t>VietGAP</t>
        </is>
      </c>
      <c r="G98" s="9" t="inlineStr">
        <is>
          <t>Nơi khô mát 1-2 tuần</t>
        </is>
      </c>
      <c r="H98" s="9" t="inlineStr">
        <is>
          <t>800g</t>
        </is>
      </c>
      <c r="I98" s="9" t="n">
        <v>10</v>
      </c>
      <c r="J98" s="9" t="inlineStr">
        <is>
          <t>Thanh long ruột trắng</t>
        </is>
      </c>
      <c r="K98" s="9" t="inlineStr">
        <is>
          <t>Ngọt nhẹ</t>
        </is>
      </c>
      <c r="L98" s="9" t="inlineStr">
        <is>
          <t>Tươi</t>
        </is>
      </c>
      <c r="M98" s="9" t="inlineStr">
        <is>
          <t>Đa dụng</t>
        </is>
      </c>
      <c r="N98" s="9" t="inlineStr">
        <is>
          <t>Nội địa</t>
        </is>
      </c>
      <c r="O98" s="9" t="inlineStr">
        <is>
          <t>Origin|Standard|Preservation|Weight|Attributes|Seasonality heuristic</t>
        </is>
      </c>
      <c r="P98" s="9" t="inlineStr">
        <is>
          <t>Origin; Season window; Standard/cert; Preservation guidance; Flavor/Texture/Usage</t>
        </is>
      </c>
      <c r="Q98" s="9" t="inlineStr">
        <is>
          <t>Trung bình</t>
        </is>
      </c>
      <c r="R98" s="9" t="inlineStr">
        <is>
          <t>B3</t>
        </is>
      </c>
      <c r="S98" s="9" t="inlineStr">
        <is>
          <t>Trái cây nội địa và đặc sản vùng miền, ưu tiên peak season + khác biệt theo tỉnh/vùng.</t>
        </is>
      </c>
      <c r="T98" s="9" t="inlineStr">
        <is>
          <t>Partially verified - batch 3</t>
        </is>
      </c>
      <c r="U98" s="9" t="inlineStr">
        <is>
          <t>Bình Thuận: vụ nghịch bắt đầu chong đèn từ tháng 10 âm lịch, thu hoạch từ tháng Chạp trở đi; dùng chung nguồn thanh long Bình Thuận.</t>
        </is>
      </c>
      <c r="V98" s="9">
        <f>COUNTIF('Seasonality Evidence'!B:B,A98)</f>
        <v/>
      </c>
      <c r="W98" s="9">
        <f>COUNTIF('Seasonality Evidence'!B:B,A98)</f>
        <v/>
      </c>
      <c r="X98" s="9">
        <f>COUNTIF('Research Evidence'!B:B,A98)</f>
        <v/>
      </c>
      <c r="Y98" s="9" t="inlineStr">
        <is>
          <t>Vietnam</t>
        </is>
      </c>
      <c r="Z98" s="9" t="inlineStr">
        <is>
          <t>Bình Thuận - vùng GI thanh long</t>
        </is>
      </c>
      <c r="AA98" s="9" t="inlineStr">
        <is>
          <t>Domestic</t>
        </is>
      </c>
      <c r="AB98" s="9" t="n"/>
      <c r="AC98" s="9" t="n"/>
      <c r="AD98" s="9" t="n"/>
      <c r="AE98" s="9" t="n"/>
      <c r="AF98" s="9" t="n"/>
      <c r="AG98" s="9" t="inlineStr">
        <is>
          <t>https://snnptnt.binhthuan.gov.vn/tin-nong-nghiep/thanh-long-vao-vu-nghich-bai-1-nang-cao-chat-luong-dap-ung-thi-truong-867366</t>
        </is>
      </c>
      <c r="AH98" s="9" t="inlineStr">
        <is>
          <t>https://ipvietnam.gov.vn/phat-trien-chi-dan-ia-ly/-/asset_publisher/SGA9PgvmYtWI/content/thanh-long-binh-thuan-duoc-bao-ho-cddl-tai-nhat-ban?inheritRedirect=false</t>
        </is>
      </c>
      <c r="AI98" s="9" t="inlineStr">
        <is>
          <t>2026-04-24 21:05:08 ICT</t>
        </is>
      </c>
      <c r="AJ98" s="9" t="inlineStr">
        <is>
          <t>Nguồn chưa tách riêng ruột trắng; mốc mùa vụ theo âm lịch.</t>
        </is>
      </c>
      <c r="AK98" s="9" t="n"/>
    </row>
    <row r="99">
      <c r="A99" s="9" t="n">
        <v>120</v>
      </c>
      <c r="B99" s="9" t="inlineStr">
        <is>
          <t>Trái cây</t>
        </is>
      </c>
      <c r="C99" s="9" t="inlineStr">
        <is>
          <t>Sầu riêng Ri6</t>
        </is>
      </c>
      <c r="D99" s="9" t="inlineStr">
        <is>
          <t>FRUIT-SR-120</t>
        </is>
      </c>
      <c r="E99" s="9" t="inlineStr">
        <is>
          <t>Đắk Lắk, Việt Nam</t>
        </is>
      </c>
      <c r="F99" s="9" t="inlineStr">
        <is>
          <t>Premium</t>
        </is>
      </c>
      <c r="G99" s="9" t="inlineStr">
        <is>
          <t>Nơi khô mát, ăn ngay khi chín</t>
        </is>
      </c>
      <c r="H99" s="9" t="inlineStr">
        <is>
          <t>2-3kg</t>
        </is>
      </c>
      <c r="I99" s="9" t="n">
        <v>5</v>
      </c>
      <c r="J99" s="9" t="inlineStr">
        <is>
          <t>Sầu riêng Ri6 cao cấp</t>
        </is>
      </c>
      <c r="K99" s="9" t="inlineStr">
        <is>
          <t>Tự nhiên</t>
        </is>
      </c>
      <c r="L99" s="9" t="inlineStr">
        <is>
          <t>Dày</t>
        </is>
      </c>
      <c r="M99" s="9" t="inlineStr">
        <is>
          <t>Đa dụng</t>
        </is>
      </c>
      <c r="N99" s="9" t="inlineStr">
        <is>
          <t>Nội địa</t>
        </is>
      </c>
      <c r="O99" s="9" t="inlineStr">
        <is>
          <t>Origin|Standard|Preservation|Weight|Attributes|Seasonality heuristic</t>
        </is>
      </c>
      <c r="P99" s="9" t="inlineStr">
        <is>
          <t>Origin; Season window; Standard/cert; Preservation guidance; Flavor/Texture/Usage</t>
        </is>
      </c>
      <c r="Q99" s="9" t="inlineStr">
        <is>
          <t>Trung bình</t>
        </is>
      </c>
      <c r="R99" s="9" t="inlineStr">
        <is>
          <t>B3</t>
        </is>
      </c>
      <c r="S99" s="9" t="inlineStr">
        <is>
          <t>Trái cây nội địa và đặc sản vùng miền, ưu tiên peak season + khác biệt theo tỉnh/vùng.</t>
        </is>
      </c>
      <c r="T99" s="9" t="inlineStr">
        <is>
          <t>Partially verified - batch 3</t>
        </is>
      </c>
      <c r="U99" s="9" t="inlineStr">
        <is>
          <t>Đắk Lắk: sầu riêng vào vụ khoảng tháng 8-9 theo nguồn khuyến nông; chưa có lịch riêng Ri6 tại Đắk Lắk.</t>
        </is>
      </c>
      <c r="V99" s="9">
        <f>COUNTIF('Seasonality Evidence'!B:B,A99)</f>
        <v/>
      </c>
      <c r="W99" s="9">
        <f>COUNTIF('Seasonality Evidence'!B:B,A99)</f>
        <v/>
      </c>
      <c r="X99" s="9">
        <f>COUNTIF('Research Evidence'!B:B,A99)</f>
        <v/>
      </c>
      <c r="Y99" s="9" t="inlineStr">
        <is>
          <t>Vietnam</t>
        </is>
      </c>
      <c r="Z99" s="9" t="inlineStr">
        <is>
          <t>Đắk Lắk - Krông Pắc/Cư M'gar context</t>
        </is>
      </c>
      <c r="AA99" s="9" t="inlineStr">
        <is>
          <t>Domestic</t>
        </is>
      </c>
      <c r="AB99" s="9" t="n"/>
      <c r="AC99" s="9" t="n"/>
      <c r="AD99" s="9" t="n"/>
      <c r="AE99" s="9" t="n"/>
      <c r="AF99" s="9" t="n"/>
      <c r="AG99" s="9" t="inlineStr">
        <is>
          <t>https://khuyennongvn.gov.vn/chuong-trinh-nganh-nong-nghiep/tai-co-cau-nganh-nong-nghiep/dak-lak-sau-rieng-duoc-gia-nhung-nang-suat-nam-nay-lai-thap-22052.html</t>
        </is>
      </c>
      <c r="AH99" s="9" t="inlineStr">
        <is>
          <t>https://socongthuong.daklak.gov.vn/vi/news/hoat-dong-nganh-cong-thuong/to-chuc-hoi-nghi-tong-ket-nganh-hang-sau-rieng-nam-2023-phuong-huong-nhiem-vu-nam-2024-4961.html</t>
        </is>
      </c>
      <c r="AI99" s="9" t="inlineStr">
        <is>
          <t>2026-04-24 21:05:08 ICT</t>
        </is>
      </c>
      <c r="AJ99" s="9" t="inlineStr">
        <is>
          <t>Nguồn mùa vụ là cho sầu riêng Đắk Lắk nói chung, chưa tách riêng cultivar Ri6.</t>
        </is>
      </c>
      <c r="AK99" s="9" t="n"/>
    </row>
    <row r="100">
      <c r="A100" s="9" t="n">
        <v>121</v>
      </c>
      <c r="B100" s="9" t="inlineStr">
        <is>
          <t>Rau lá</t>
        </is>
      </c>
      <c r="C100" s="9" t="inlineStr">
        <is>
          <t>khoai mỡ</t>
        </is>
      </c>
      <c r="D100" s="9" t="inlineStr">
        <is>
          <t>test1</t>
        </is>
      </c>
      <c r="E100" s="9" t="n"/>
      <c r="F100" s="9" t="n"/>
      <c r="G100" s="9" t="n"/>
      <c r="H100" s="9" t="n"/>
      <c r="I100" s="9" t="n"/>
      <c r="J100" s="9" t="n"/>
      <c r="K100" s="9" t="inlineStr">
        <is>
          <t>Tự nhiên</t>
        </is>
      </c>
      <c r="L100" s="9" t="inlineStr">
        <is>
          <t>Tươi</t>
        </is>
      </c>
      <c r="M100" s="9" t="inlineStr">
        <is>
          <t>Đa dụng</t>
        </is>
      </c>
      <c r="N100" s="9" t="inlineStr">
        <is>
          <t>Thiếu dữ liệu</t>
        </is>
      </c>
      <c r="O100" s="9" t="inlineStr">
        <is>
          <t>Origin|Standard|Preservation|Weight|Attributes|Seasonality heuristic</t>
        </is>
      </c>
      <c r="P100" s="9" t="inlineStr">
        <is>
          <t>Origin; Season window; Standard/cert; Preservation guidance; Flavor/Texture/Usage</t>
        </is>
      </c>
      <c r="Q100" s="9" t="inlineStr">
        <is>
          <t>Cao</t>
        </is>
      </c>
      <c r="R100" s="9" t="inlineStr">
        <is>
          <t>B2</t>
        </is>
      </c>
      <c r="S100" s="9" t="inlineStr">
        <is>
          <t>Thiếu metadata nền hoặc origin/classification chưa đủ để tra cứu ngoài ngay.</t>
        </is>
      </c>
      <c r="T100" s="9" t="inlineStr">
        <is>
          <t>Partially verified - batch 2</t>
        </is>
      </c>
      <c r="U100" s="9" t="inlineStr">
        <is>
          <t>Vĩnh Long/Mang Thít: khoai mỡ xuống giống sau khi thu hoạch lúa Đông Xuân, thu sau khoảng 6 tháng; có mô hình VietGAP.</t>
        </is>
      </c>
      <c r="V100" s="9" t="n">
        <v>1</v>
      </c>
      <c r="W100" s="9" t="n">
        <v>1</v>
      </c>
      <c r="X100" s="9" t="n">
        <v>1</v>
      </c>
      <c r="Y100" s="9" t="inlineStr">
        <is>
          <t>Vietnam</t>
        </is>
      </c>
      <c r="Z100" s="9" t="inlineStr">
        <is>
          <t>Vĩnh Long</t>
        </is>
      </c>
      <c r="AA100" s="9" t="inlineStr">
        <is>
          <t>Domestic likely; catalog seed missing</t>
        </is>
      </c>
      <c r="AB100" s="9" t="inlineStr">
        <is>
          <t>VietGAP context at Vĩnh Long; SKU standard unverified</t>
        </is>
      </c>
      <c r="AC100" s="9" t="inlineStr">
        <is>
          <t>Cần bổ sung từ ProductInfo/nhà cung cấp</t>
        </is>
      </c>
      <c r="AD100" s="9" t="inlineStr">
        <is>
          <t>Bùi, tinh bột</t>
        </is>
      </c>
      <c r="AE100" s="9" t="inlineStr">
        <is>
          <t>Củ; mềm/bở sau nấu</t>
        </is>
      </c>
      <c r="AF100" s="9" t="inlineStr">
        <is>
          <t>Canh, chè, hấp/luộc</t>
        </is>
      </c>
      <c r="AG100" s="9" t="inlineStr">
        <is>
          <t>https://khuyennongvn.gov.vn/chuong-trinh-nganh-nong-nghiep/tai-co-cau-nganh-nong-nghiep/vinh-long-tuan-thu-ky-thuat-canh-tac--canh-dong-khoai-mo-ngay-cang-mo-rong-19139.html</t>
        </is>
      </c>
      <c r="AH100" s="9" t="inlineStr"/>
      <c r="AI100" s="9" t="inlineStr">
        <is>
          <t>2026-04-24 21:12:38 ICT</t>
        </is>
      </c>
      <c r="AJ100" s="9" t="inlineStr">
        <is>
          <t>Catalog thiếu ProductInfo nên chưa xác nhận được origin/standard/pack size nội bộ.</t>
        </is>
      </c>
      <c r="AK100" s="9" t="inlineStr">
        <is>
          <t>Cần tạo/bổ sung ProductInfo seed trong DB trước khi nhập dữ liệu chính thức.</t>
        </is>
      </c>
    </row>
    <row r="101">
      <c r="A101" s="9" t="n">
        <v>122</v>
      </c>
      <c r="B101" s="9" t="inlineStr">
        <is>
          <t>Rau lá</t>
        </is>
      </c>
      <c r="C101" s="9" t="inlineStr">
        <is>
          <t>Rau muống</t>
        </is>
      </c>
      <c r="D101" s="9" t="n"/>
      <c r="E101" s="9" t="n"/>
      <c r="F101" s="9" t="n"/>
      <c r="G101" s="9" t="n"/>
      <c r="H101" s="9" t="n"/>
      <c r="I101" s="9" t="n"/>
      <c r="J101" s="9" t="n"/>
      <c r="K101" s="9" t="inlineStr">
        <is>
          <t>Tự nhiên</t>
        </is>
      </c>
      <c r="L101" s="9" t="inlineStr">
        <is>
          <t>Tươi</t>
        </is>
      </c>
      <c r="M101" s="9" t="inlineStr">
        <is>
          <t>Đa dụng</t>
        </is>
      </c>
      <c r="N101" s="9" t="inlineStr">
        <is>
          <t>Thiếu dữ liệu</t>
        </is>
      </c>
      <c r="O101" s="9" t="inlineStr">
        <is>
          <t>Origin|Standard|Preservation|Weight|Attributes|Seasonality heuristic</t>
        </is>
      </c>
      <c r="P101" s="9" t="inlineStr">
        <is>
          <t>Origin; Season window; Standard/cert; Preservation guidance; Flavor/Texture/Usage</t>
        </is>
      </c>
      <c r="Q101" s="9" t="inlineStr">
        <is>
          <t>Cao</t>
        </is>
      </c>
      <c r="R101" s="9" t="inlineStr">
        <is>
          <t>B2</t>
        </is>
      </c>
      <c r="S101" s="9" t="inlineStr">
        <is>
          <t>Thiếu metadata nền hoặc origin/classification chưa đủ để tra cứu ngoài ngay.</t>
        </is>
      </c>
      <c r="T101" s="9" t="inlineStr">
        <is>
          <t>Partially verified - batch 2</t>
        </is>
      </c>
      <c r="U101" s="9" t="inlineStr">
        <is>
          <t>Rau muống có thể sản xuất thủy canh tuần hoàn và thu hái nhiều lứa; nguồn chưa xác nhận vùng cung ứng cụ thể.</t>
        </is>
      </c>
      <c r="V101" s="9" t="n">
        <v>1</v>
      </c>
      <c r="W101" s="9" t="n">
        <v>1</v>
      </c>
      <c r="X101" s="9" t="n">
        <v>1</v>
      </c>
      <c r="Y101" s="9" t="inlineStr">
        <is>
          <t>Vietnam likely; catalog seed missing</t>
        </is>
      </c>
      <c r="Z101" s="9" t="inlineStr">
        <is>
          <t>Unverified</t>
        </is>
      </c>
      <c r="AA101" s="9" t="inlineStr">
        <is>
          <t>Domestic likely; catalog seed missing</t>
        </is>
      </c>
      <c r="AB101" s="9" t="inlineStr">
        <is>
          <t>Unverified</t>
        </is>
      </c>
      <c r="AC101" s="9" t="inlineStr">
        <is>
          <t>Rau lá tươi cần bảo quản mát/ẩm; cần bổ sung từ ProductInfo/nhà cung cấp</t>
        </is>
      </c>
      <c r="AD101" s="9" t="inlineStr">
        <is>
          <t>Tươi, xanh</t>
        </is>
      </c>
      <c r="AE101" s="9" t="inlineStr">
        <is>
          <t>Giòn mềm</t>
        </is>
      </c>
      <c r="AF101" s="9" t="inlineStr">
        <is>
          <t>Luộc, xào, nấu canh</t>
        </is>
      </c>
      <c r="AG101" s="9" t="inlineStr">
        <is>
          <t>https://khuyennongvn.gov.vn/ky-thuat-trong-trot/quy-trinh-ky-thuat-san-xuat-rau-thuy-canh-tuan-hoan-759.html</t>
        </is>
      </c>
      <c r="AH101" s="9" t="inlineStr"/>
      <c r="AI101" s="9" t="inlineStr">
        <is>
          <t>2026-04-24 21:12:38 ICT</t>
        </is>
      </c>
      <c r="AJ101" s="9" t="inlineStr">
        <is>
          <t>Catalog thiếu ProductInfo nên chưa xác nhận origin/standard/vùng cung ứng nội bộ; nguồn là quy trình thủy canh chung.</t>
        </is>
      </c>
      <c r="AK101" s="9" t="inlineStr">
        <is>
          <t>Dòng trùng tên với ProductID 1 nhưng thiếu ProductInfo, cần rà lại duplicate/seed DB.</t>
        </is>
      </c>
    </row>
  </sheetData>
  <autoFilter ref="A1:AJ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3" customWidth="1" min="3" max="3"/>
    <col width="14" customWidth="1" min="4" max="4"/>
    <col width="16" customWidth="1" min="5" max="5"/>
    <col width="21" customWidth="1" min="6" max="6"/>
    <col width="38" customWidth="1" min="7" max="7"/>
    <col width="41" customWidth="1" min="8" max="8"/>
    <col width="13" customWidth="1" min="9" max="9"/>
    <col width="12" customWidth="1" min="10" max="10"/>
    <col width="13" customWidth="1" min="11" max="11"/>
    <col width="21" customWidth="1" min="12" max="12"/>
    <col width="44" customWidth="1" min="13" max="13"/>
    <col width="44" customWidth="1" min="14" max="14"/>
    <col width="44" customWidth="1" min="15" max="15"/>
    <col width="44" customWidth="1" min="16" max="16"/>
    <col width="13" customWidth="1" min="17" max="17"/>
    <col width="13" customWidth="1" min="18" max="18"/>
    <col width="25" customWidth="1" min="19" max="19"/>
    <col width="44" customWidth="1" min="20" max="20"/>
    <col width="44" customWidth="1" min="21" max="21"/>
  </cols>
  <sheetData>
    <row r="1">
      <c r="A1" s="15" t="inlineStr">
        <is>
          <t>Batch</t>
        </is>
      </c>
      <c r="B1" s="8" t="inlineStr">
        <is>
          <t>ProductID</t>
        </is>
      </c>
      <c r="C1" s="8" t="inlineStr">
        <is>
          <t>ProductName</t>
        </is>
      </c>
      <c r="D1" s="8" t="inlineStr">
        <is>
          <t>CategoryName</t>
        </is>
      </c>
      <c r="E1" s="8" t="inlineStr">
        <is>
          <t>Current Origin</t>
        </is>
      </c>
      <c r="F1" s="8" t="inlineStr">
        <is>
          <t>Locality Scope</t>
        </is>
      </c>
      <c r="G1" s="8" t="inlineStr">
        <is>
          <t>Locality Name</t>
        </is>
      </c>
      <c r="H1" s="8" t="inlineStr">
        <is>
          <t>Season Window Label</t>
        </is>
      </c>
      <c r="I1" s="8" t="inlineStr">
        <is>
          <t>Start Month</t>
        </is>
      </c>
      <c r="J1" s="8" t="inlineStr">
        <is>
          <t>End Month</t>
        </is>
      </c>
      <c r="K1" s="8" t="inlineStr">
        <is>
          <t>Peak Months</t>
        </is>
      </c>
      <c r="L1" s="8" t="inlineStr">
        <is>
          <t>Main Harvest Window</t>
        </is>
      </c>
      <c r="M1" s="8" t="inlineStr">
        <is>
          <t>Cultivation / Availability Notes</t>
        </is>
      </c>
      <c r="N1" s="8" t="inlineStr">
        <is>
          <t>Source Title</t>
        </is>
      </c>
      <c r="O1" s="8" t="inlineStr">
        <is>
          <t>Source Publisher</t>
        </is>
      </c>
      <c r="P1" s="8" t="inlineStr">
        <is>
          <t>Source URL</t>
        </is>
      </c>
      <c r="Q1" s="8" t="inlineStr">
        <is>
          <t>Source Date</t>
        </is>
      </c>
      <c r="R1" s="8" t="inlineStr">
        <is>
          <t>Trust Level</t>
        </is>
      </c>
      <c r="S1" s="8" t="inlineStr">
        <is>
          <t>Thời gian thu thập</t>
        </is>
      </c>
      <c r="T1" s="8" t="inlineStr">
        <is>
          <t>Tôi chưa chắc chắn</t>
        </is>
      </c>
      <c r="U1" s="8" t="inlineStr">
        <is>
          <t>Reviewer Notes</t>
        </is>
      </c>
    </row>
    <row r="2">
      <c r="A2" t="inlineStr">
        <is>
          <t>B1</t>
        </is>
      </c>
      <c r="B2" t="n">
        <v>61</v>
      </c>
      <c r="C2" t="inlineStr">
        <is>
          <t>Táo Fuji Nhật</t>
        </is>
      </c>
      <c r="D2" t="inlineStr">
        <is>
          <t>Trái cây</t>
        </is>
      </c>
      <c r="E2" t="inlineStr">
        <is>
          <t>Nhật Bản</t>
        </is>
      </c>
      <c r="F2" t="inlineStr">
        <is>
          <t>Prefecture</t>
        </is>
      </c>
      <c r="G2" t="inlineStr">
        <is>
          <t>Aomori</t>
        </is>
      </c>
      <c r="H2" t="inlineStr">
        <is>
          <t>Fuji export / eating window</t>
        </is>
      </c>
      <c r="I2" t="n">
        <v>11</v>
      </c>
      <c r="J2" t="n">
        <v>1</v>
      </c>
      <c r="K2" t="inlineStr">
        <is>
          <t>11-12</t>
        </is>
      </c>
      <c r="L2" t="inlineStr">
        <is>
          <t>Yes</t>
        </is>
      </c>
      <c r="M2" t="inlineStr">
        <is>
          <t>Aomori export season starts in October; Fuji is highlighted in November and controlled storage extends quality beyond New Year.</t>
        </is>
      </c>
      <c r="N2" t="inlineStr">
        <is>
          <t>Fruit and Vegetables: Apples</t>
        </is>
      </c>
      <c r="O2" t="inlineStr">
        <is>
          <t>Japan Food Export Fair / Aomori Apple Council</t>
        </is>
      </c>
      <c r="P2" t="inlineStr">
        <is>
          <t>https://j-fec.com/en/producer/pdf/en/20/</t>
        </is>
      </c>
      <c r="Q2" t="inlineStr">
        <is>
          <t>2022</t>
        </is>
      </c>
      <c r="R2" t="inlineStr">
        <is>
          <t>High</t>
        </is>
      </c>
      <c r="S2" t="inlineStr">
        <is>
          <t>2026-04-24 14:43:30 ICT</t>
        </is>
      </c>
      <c r="T2" t="inlineStr">
        <is>
          <t>End month is inferred from official storage note rather than an explicit Fuji close date.</t>
        </is>
      </c>
      <c r="U2" t="inlineStr">
        <is>
          <t>Use Aomori as the strongest verified locality currently available for Fuji export fruit.</t>
        </is>
      </c>
    </row>
    <row r="3">
      <c r="A3" t="inlineStr">
        <is>
          <t>B1</t>
        </is>
      </c>
      <c r="B3" t="n">
        <v>62</v>
      </c>
      <c r="C3" t="inlineStr">
        <is>
          <t>Cam Cara ruột đỏ</t>
        </is>
      </c>
      <c r="D3" t="inlineStr">
        <is>
          <t>Trái cây</t>
        </is>
      </c>
      <c r="E3" t="inlineStr">
        <is>
          <t>Úc</t>
        </is>
      </c>
      <c r="F3" t="inlineStr">
        <is>
          <t>Growing regions</t>
        </is>
      </c>
      <c r="G3" t="inlineStr">
        <is>
          <t>Murray Valley / Riverina / Riverland</t>
        </is>
      </c>
      <c r="H3" t="inlineStr">
        <is>
          <t>Australia navel orange season</t>
        </is>
      </c>
      <c r="I3" t="n">
        <v>6</v>
      </c>
      <c r="J3" t="n">
        <v>10</v>
      </c>
      <c r="K3" t="inlineStr">
        <is>
          <t>6-8</t>
        </is>
      </c>
      <c r="L3" t="inlineStr">
        <is>
          <t>No</t>
        </is>
      </c>
      <c r="M3" t="inlineStr">
        <is>
          <t>Citrus Australia lists navel oranges in season June-October; Agriculture Victoria describes Cara Cara as an early-to-mid-season navel.</t>
        </is>
      </c>
      <c r="N3" t="inlineStr">
        <is>
          <t>What's in Season</t>
        </is>
      </c>
      <c r="O3" t="inlineStr">
        <is>
          <t>Citrus Australia</t>
        </is>
      </c>
      <c r="P3" t="inlineStr">
        <is>
          <t>https://citrusaustralia.com.au/buying-australian/season/</t>
        </is>
      </c>
      <c r="R3" t="inlineStr">
        <is>
          <t>High</t>
        </is>
      </c>
      <c r="S3" t="inlineStr">
        <is>
          <t>2026-04-24 14:43:30 ICT</t>
        </is>
      </c>
      <c r="T3" t="inlineStr">
        <is>
          <t>Cara Cara month range is inferred from the broader navel window because a month-by-month Cara Cara calendar was not found.</t>
        </is>
      </c>
      <c r="U3" t="inlineStr">
        <is>
          <t>Treat this as a provisional Australia-season mapping until a variety-specific official calendar is found.</t>
        </is>
      </c>
    </row>
    <row r="4">
      <c r="A4" t="inlineStr">
        <is>
          <t>B1</t>
        </is>
      </c>
      <c r="B4" t="n">
        <v>63</v>
      </c>
      <c r="C4" t="inlineStr">
        <is>
          <t>Nho Mỹ không hạt</t>
        </is>
      </c>
      <c r="D4" t="inlineStr">
        <is>
          <t>Trái cây</t>
        </is>
      </c>
      <c r="E4" t="inlineStr">
        <is>
          <t>Mỹ</t>
        </is>
      </c>
      <c r="F4" t="inlineStr">
        <is>
          <t>Region</t>
        </is>
      </c>
      <c r="G4" t="inlineStr">
        <is>
          <t>Coachella Valley, California</t>
        </is>
      </c>
      <c r="H4" t="inlineStr">
        <is>
          <t>Early California table grape season</t>
        </is>
      </c>
      <c r="I4" t="n">
        <v>5</v>
      </c>
      <c r="J4" t="n">
        <v>7</v>
      </c>
      <c r="K4" t="inlineStr">
        <is>
          <t>5-6</t>
        </is>
      </c>
      <c r="L4" t="inlineStr">
        <is>
          <t>Yes</t>
        </is>
      </c>
      <c r="M4" t="inlineStr">
        <is>
          <t>California table grapes begin in Coachella Valley in May and usually finish in early July.</t>
        </is>
      </c>
      <c r="N4" t="inlineStr">
        <is>
          <t>Grapes From California Merchandising and Training Guide</t>
        </is>
      </c>
      <c r="O4" t="inlineStr">
        <is>
          <t>California Table Grape Commission</t>
        </is>
      </c>
      <c r="P4" t="inlineStr">
        <is>
          <t>https://www.grapesfromcalifornia.com/wp-content/uploads/2023/06/20230605-grapes-from-california-merchandising-and-training-guide-2023.pdf</t>
        </is>
      </c>
      <c r="Q4" t="inlineStr">
        <is>
          <t>2023-06-05</t>
        </is>
      </c>
      <c r="R4" t="inlineStr">
        <is>
          <t>High</t>
        </is>
      </c>
      <c r="S4" t="inlineStr">
        <is>
          <t>2026-04-24 14:43:30 ICT</t>
        </is>
      </c>
    </row>
    <row r="5">
      <c r="A5" t="inlineStr">
        <is>
          <t>B1</t>
        </is>
      </c>
      <c r="B5" t="n">
        <v>63</v>
      </c>
      <c r="C5" t="inlineStr">
        <is>
          <t>Nho Mỹ không hạt</t>
        </is>
      </c>
      <c r="D5" t="inlineStr">
        <is>
          <t>Trái cây</t>
        </is>
      </c>
      <c r="E5" t="inlineStr">
        <is>
          <t>Mỹ</t>
        </is>
      </c>
      <c r="F5" t="inlineStr">
        <is>
          <t>Region</t>
        </is>
      </c>
      <c r="G5" t="inlineStr">
        <is>
          <t>San Joaquin Valley, California</t>
        </is>
      </c>
      <c r="H5" t="inlineStr">
        <is>
          <t>Main California table grape season</t>
        </is>
      </c>
      <c r="I5" t="n">
        <v>7</v>
      </c>
      <c r="J5" t="n">
        <v>12</v>
      </c>
      <c r="K5" t="inlineStr">
        <is>
          <t>8-10</t>
        </is>
      </c>
      <c r="L5" t="inlineStr">
        <is>
          <t>Yes</t>
        </is>
      </c>
      <c r="M5" t="inlineStr">
        <is>
          <t>The San Joaquin Valley starts in early July and often continues into December.</t>
        </is>
      </c>
      <c r="N5" t="inlineStr">
        <is>
          <t>Grapes From California Merchandising and Training Guide</t>
        </is>
      </c>
      <c r="O5" t="inlineStr">
        <is>
          <t>California Table Grape Commission</t>
        </is>
      </c>
      <c r="P5" t="inlineStr">
        <is>
          <t>https://www.grapesfromcalifornia.com/wp-content/uploads/2023/06/20230605-grapes-from-california-merchandising-and-training-guide-2023.pdf</t>
        </is>
      </c>
      <c r="Q5" t="inlineStr">
        <is>
          <t>2023-06-05</t>
        </is>
      </c>
      <c r="R5" t="inlineStr">
        <is>
          <t>High</t>
        </is>
      </c>
      <c r="S5" t="inlineStr">
        <is>
          <t>2026-04-24 14:43:30 ICT</t>
        </is>
      </c>
      <c r="U5" t="inlineStr">
        <is>
          <t>California grapes are marketed from May into January.</t>
        </is>
      </c>
    </row>
    <row r="6">
      <c r="A6" t="inlineStr">
        <is>
          <t>B1</t>
        </is>
      </c>
      <c r="B6" t="n">
        <v>71</v>
      </c>
      <c r="C6" t="inlineStr">
        <is>
          <t>Măng cụt</t>
        </is>
      </c>
      <c r="D6" t="inlineStr">
        <is>
          <t>Trái cây</t>
        </is>
      </c>
      <c r="E6" t="inlineStr">
        <is>
          <t>Thái Lan</t>
        </is>
      </c>
      <c r="F6" t="inlineStr">
        <is>
          <t>Country</t>
        </is>
      </c>
      <c r="G6" t="inlineStr">
        <is>
          <t>Thailand</t>
        </is>
      </c>
      <c r="H6" t="inlineStr">
        <is>
          <t>National availability window</t>
        </is>
      </c>
      <c r="I6" t="n">
        <v>4</v>
      </c>
      <c r="J6" t="n">
        <v>12</v>
      </c>
      <c r="K6" t="inlineStr">
        <is>
          <t>4-8</t>
        </is>
      </c>
      <c r="L6" t="inlineStr">
        <is>
          <t>Yes</t>
        </is>
      </c>
      <c r="M6" t="inlineStr">
        <is>
          <t>The DOAE commodity page states availability from April to December with peak supply in April-August.</t>
        </is>
      </c>
      <c r="N6" t="inlineStr">
        <is>
          <t>Mangosteen</t>
        </is>
      </c>
      <c r="O6" t="inlineStr">
        <is>
          <t>Department of Agricultural Extension, Thailand</t>
        </is>
      </c>
      <c r="P6" t="inlineStr">
        <is>
          <t>https://www.doae.go.th/en/mangosteen-2/</t>
        </is>
      </c>
      <c r="R6" t="inlineStr">
        <is>
          <t>High</t>
        </is>
      </c>
      <c r="S6" t="inlineStr">
        <is>
          <t>2026-04-24 14:43:30 ICT</t>
        </is>
      </c>
    </row>
    <row r="7">
      <c r="A7" t="inlineStr">
        <is>
          <t>B1</t>
        </is>
      </c>
      <c r="B7" t="n">
        <v>71</v>
      </c>
      <c r="C7" t="inlineStr">
        <is>
          <t>Măng cụt</t>
        </is>
      </c>
      <c r="D7" t="inlineStr">
        <is>
          <t>Trái cây</t>
        </is>
      </c>
      <c r="E7" t="inlineStr">
        <is>
          <t>Thái Lan</t>
        </is>
      </c>
      <c r="F7" t="inlineStr">
        <is>
          <t>Province / locality</t>
        </is>
      </c>
      <c r="G7" t="inlineStr">
        <is>
          <t>Khiriwong, Nakhon Si Thammarat</t>
        </is>
      </c>
      <c r="H7" t="inlineStr">
        <is>
          <t>Southern locality fruit season</t>
        </is>
      </c>
      <c r="I7" t="n">
        <v>7</v>
      </c>
      <c r="J7" t="n">
        <v>9</v>
      </c>
      <c r="K7" t="inlineStr">
        <is>
          <t>7-9</t>
        </is>
      </c>
      <c r="L7" t="inlineStr">
        <is>
          <t>No</t>
        </is>
      </c>
      <c r="M7" t="inlineStr">
        <is>
          <t>Thailand government tourism content notes fruit season in Khiriwong from July to September, including mangosteen.</t>
        </is>
      </c>
      <c r="N7" t="inlineStr">
        <is>
          <t>Kiriwong Village and Khao Luang Mountain</t>
        </is>
      </c>
      <c r="O7" t="inlineStr">
        <is>
          <t>Government of Thailand</t>
        </is>
      </c>
      <c r="P7" t="inlineStr">
        <is>
          <t>https://www.thailand.go.th/issue-focus-detail/001_02_255</t>
        </is>
      </c>
      <c r="R7" t="inlineStr">
        <is>
          <t>High</t>
        </is>
      </c>
      <c r="S7" t="inlineStr">
        <is>
          <t>2026-04-24 14:43:30 ICT</t>
        </is>
      </c>
      <c r="U7" t="inlineStr">
        <is>
          <t>Useful as a locality-specific southern Thailand season window.</t>
        </is>
      </c>
    </row>
    <row r="8">
      <c r="A8" t="inlineStr">
        <is>
          <t>B1</t>
        </is>
      </c>
      <c r="B8" t="n">
        <v>73</v>
      </c>
      <c r="C8" t="inlineStr">
        <is>
          <t>Lựu đỏ Mỹ</t>
        </is>
      </c>
      <c r="D8" t="inlineStr">
        <is>
          <t>Trái cây</t>
        </is>
      </c>
      <c r="E8" t="inlineStr">
        <is>
          <t>Mỹ</t>
        </is>
      </c>
      <c r="F8" t="inlineStr">
        <is>
          <t>Region</t>
        </is>
      </c>
      <c r="G8" t="inlineStr">
        <is>
          <t>San Joaquin Valley, California</t>
        </is>
      </c>
      <c r="H8" t="inlineStr">
        <is>
          <t>California pomegranate season</t>
        </is>
      </c>
      <c r="I8" t="n">
        <v>10</v>
      </c>
      <c r="J8" t="n">
        <v>1</v>
      </c>
      <c r="K8" t="inlineStr">
        <is>
          <t>10-1</t>
        </is>
      </c>
      <c r="L8" t="inlineStr">
        <is>
          <t>Yes</t>
        </is>
      </c>
      <c r="M8" t="inlineStr">
        <is>
          <t>California pomegranates are described as being in season from October to January and are grown in the San Joaquin Valley.</t>
        </is>
      </c>
      <c r="N8" t="inlineStr">
        <is>
          <t>Why California</t>
        </is>
      </c>
      <c r="O8" t="inlineStr">
        <is>
          <t>POM Wonderful / California Pomegranate Council</t>
        </is>
      </c>
      <c r="P8" t="inlineStr">
        <is>
          <t>https://pomegranates.org/about/why-california/</t>
        </is>
      </c>
      <c r="R8" t="inlineStr">
        <is>
          <t>High</t>
        </is>
      </c>
      <c r="S8" t="inlineStr">
        <is>
          <t>2026-04-24 14:43:30 ICT</t>
        </is>
      </c>
    </row>
    <row r="9">
      <c r="A9" t="inlineStr">
        <is>
          <t>B1</t>
        </is>
      </c>
      <c r="B9" t="n">
        <v>74</v>
      </c>
      <c r="C9" t="inlineStr">
        <is>
          <t>Dưa lưới Nhật</t>
        </is>
      </c>
      <c r="D9" t="inlineStr">
        <is>
          <t>Trái cây</t>
        </is>
      </c>
      <c r="E9" t="inlineStr">
        <is>
          <t>Nhật Bản</t>
        </is>
      </c>
      <c r="F9" t="inlineStr">
        <is>
          <t>Prefecture</t>
        </is>
      </c>
      <c r="G9" t="inlineStr">
        <is>
          <t>Ibaraki</t>
        </is>
      </c>
      <c r="H9" t="inlineStr">
        <is>
          <t>Ibaraki melon shipping window</t>
        </is>
      </c>
      <c r="I9" t="n">
        <v>4</v>
      </c>
      <c r="J9" t="n">
        <v>10</v>
      </c>
      <c r="K9" t="inlineStr">
        <is>
          <t>5-9</t>
        </is>
      </c>
      <c r="L9" t="inlineStr">
        <is>
          <t>Yes</t>
        </is>
      </c>
      <c r="M9" t="inlineStr">
        <is>
          <t>Ibaraki melons are shipped from late April to late October; Andes, Quincy and Takami peak from spring to early summer while Earl's melons run from summer to autumn.</t>
        </is>
      </c>
      <c r="N9" t="inlineStr">
        <is>
          <t>Melons</t>
        </is>
      </c>
      <c r="O9" t="inlineStr">
        <is>
          <t>Ibaraki Prefecture</t>
        </is>
      </c>
      <c r="P9" t="inlineStr">
        <is>
          <t>https://exports.pref.ibaraki.jp/en/product/detail?id=714713</t>
        </is>
      </c>
      <c r="R9" t="inlineStr">
        <is>
          <t>High</t>
        </is>
      </c>
      <c r="S9" t="inlineStr">
        <is>
          <t>2026-04-24 14:43:30 ICT</t>
        </is>
      </c>
    </row>
    <row r="10">
      <c r="A10" t="inlineStr">
        <is>
          <t>B1</t>
        </is>
      </c>
      <c r="B10" t="n">
        <v>74</v>
      </c>
      <c r="C10" t="inlineStr">
        <is>
          <t>Dưa lưới Nhật</t>
        </is>
      </c>
      <c r="D10" t="inlineStr">
        <is>
          <t>Trái cây</t>
        </is>
      </c>
      <c r="E10" t="inlineStr">
        <is>
          <t>Nhật Bản</t>
        </is>
      </c>
      <c r="F10" t="inlineStr">
        <is>
          <t>Prefecture</t>
        </is>
      </c>
      <c r="G10" t="inlineStr">
        <is>
          <t>Shizuoka</t>
        </is>
      </c>
      <c r="H10" t="inlineStr">
        <is>
          <t>Greenhouse aroma melon supply</t>
        </is>
      </c>
      <c r="I10" t="n">
        <v>1</v>
      </c>
      <c r="J10" t="n">
        <v>12</v>
      </c>
      <c r="K10" t="inlineStr">
        <is>
          <t>Year-round</t>
        </is>
      </c>
      <c r="L10" t="inlineStr">
        <is>
          <t>No</t>
        </is>
      </c>
      <c r="M10" t="inlineStr">
        <is>
          <t>Shizuoka's premium aroma melon is cultivated in greenhouses and described as available throughout the year.</t>
        </is>
      </c>
      <c r="N10" t="inlineStr">
        <is>
          <t>Aroma Melon</t>
        </is>
      </c>
      <c r="O10" t="inlineStr">
        <is>
          <t>Shizuoka Prefecture Food Information Center</t>
        </is>
      </c>
      <c r="P10" t="inlineStr">
        <is>
          <t>https://fujinokuni.shokunomiyako-shizuoka.pref.shizuoka.jp/en/buy-food/1884</t>
        </is>
      </c>
      <c r="R10" t="inlineStr">
        <is>
          <t>High</t>
        </is>
      </c>
      <c r="S10" t="inlineStr">
        <is>
          <t>2026-04-24 14:43:30 ICT</t>
        </is>
      </c>
      <c r="T10" t="inlineStr">
        <is>
          <t>Catalog origin is generic Japan, so exact supplied prefecture still needs transactional confirmation.</t>
        </is>
      </c>
      <c r="U10" t="inlineStr">
        <is>
          <t>Good example of locality-specific difference versus open-field/standard shipping calendars.</t>
        </is>
      </c>
    </row>
    <row r="11">
      <c r="A11" t="inlineStr">
        <is>
          <t>B1</t>
        </is>
      </c>
      <c r="B11" t="n">
        <v>75</v>
      </c>
      <c r="C11" t="inlineStr">
        <is>
          <t>Mận đỏ Mỹ</t>
        </is>
      </c>
      <c r="D11" t="inlineStr">
        <is>
          <t>Trái cây</t>
        </is>
      </c>
      <c r="E11" t="inlineStr">
        <is>
          <t>Mỹ</t>
        </is>
      </c>
      <c r="F11" t="inlineStr">
        <is>
          <t>State</t>
        </is>
      </c>
      <c r="G11" t="inlineStr">
        <is>
          <t>California</t>
        </is>
      </c>
      <c r="H11" t="inlineStr">
        <is>
          <t>California plum season</t>
        </is>
      </c>
      <c r="I11" t="n">
        <v>5</v>
      </c>
      <c r="J11" t="n">
        <v>12</v>
      </c>
      <c r="K11" t="inlineStr">
        <is>
          <t>6-8</t>
        </is>
      </c>
      <c r="L11" t="inlineStr">
        <is>
          <t>Yes</t>
        </is>
      </c>
      <c r="M11" t="inlineStr">
        <is>
          <t>The California plum fact sheet describes the growing season as May-December with the heaviest volume June-August.</t>
        </is>
      </c>
      <c r="N11" t="inlineStr">
        <is>
          <t>Plums</t>
        </is>
      </c>
      <c r="O11" t="inlineStr">
        <is>
          <t>California Department of Education</t>
        </is>
      </c>
      <c r="P11" t="inlineStr">
        <is>
          <t>https://www.cde.ca.gov/ls/nu/fd/plum.asp</t>
        </is>
      </c>
      <c r="R11" t="inlineStr">
        <is>
          <t>High</t>
        </is>
      </c>
      <c r="S11" t="inlineStr">
        <is>
          <t>2026-04-24 14:43:30 ICT</t>
        </is>
      </c>
    </row>
    <row r="12">
      <c r="A12" t="inlineStr">
        <is>
          <t>B1</t>
        </is>
      </c>
      <c r="B12" t="n">
        <v>76</v>
      </c>
      <c r="C12" t="inlineStr">
        <is>
          <t>Lê Nam Phi</t>
        </is>
      </c>
      <c r="D12" t="inlineStr">
        <is>
          <t>Trái cây</t>
        </is>
      </c>
      <c r="E12" t="inlineStr">
        <is>
          <t>Nam Phi</t>
        </is>
      </c>
      <c r="F12" t="inlineStr">
        <is>
          <t>Province / region</t>
        </is>
      </c>
      <c r="G12" t="inlineStr">
        <is>
          <t>Western Cape</t>
        </is>
      </c>
      <c r="H12" t="inlineStr">
        <is>
          <t>South African pear harvest start</t>
        </is>
      </c>
      <c r="I12" t="n">
        <v>1</v>
      </c>
      <c r="L12" t="inlineStr">
        <is>
          <t>No</t>
        </is>
      </c>
      <c r="M12" t="inlineStr">
        <is>
          <t>Hortgro notes that early pear cultivars are harvested in January; exact end windows vary by cultivar.</t>
        </is>
      </c>
      <c r="N12" t="inlineStr">
        <is>
          <t>Pome Fruit Industry Estimates 2025 Season</t>
        </is>
      </c>
      <c r="O12" t="inlineStr">
        <is>
          <t>Hortgro</t>
        </is>
      </c>
      <c r="P12" t="inlineStr">
        <is>
          <t>https://www.hortgro.co.za/wp-content/uploads/docs/dlm_uploads/2025/01/Pome-fruit-industry-estimates_2025-SEASON_FINAL.pdf</t>
        </is>
      </c>
      <c r="Q12" t="inlineStr">
        <is>
          <t>2025-01</t>
        </is>
      </c>
      <c r="R12" t="inlineStr">
        <is>
          <t>High</t>
        </is>
      </c>
      <c r="S12" t="inlineStr">
        <is>
          <t>2026-04-24 14:43:30 ICT</t>
        </is>
      </c>
      <c r="T12" t="inlineStr">
        <is>
          <t>Generic South African pear timing still needs cultivar-specific end-month confirmation.</t>
        </is>
      </c>
      <c r="U12" t="inlineStr">
        <is>
          <t>Use January as verified harvest start only.</t>
        </is>
      </c>
    </row>
    <row r="13">
      <c r="A13" t="inlineStr">
        <is>
          <t>B1</t>
        </is>
      </c>
      <c r="B13" t="n">
        <v>77</v>
      </c>
      <c r="C13" t="inlineStr">
        <is>
          <t>Kiwi vàng New Zealand</t>
        </is>
      </c>
      <c r="D13" t="inlineStr">
        <is>
          <t>Trái cây</t>
        </is>
      </c>
      <c r="E13" t="inlineStr">
        <is>
          <t>New Zealand</t>
        </is>
      </c>
      <c r="F13" t="inlineStr">
        <is>
          <t>Country</t>
        </is>
      </c>
      <c r="G13" t="inlineStr">
        <is>
          <t>New Zealand</t>
        </is>
      </c>
      <c r="H13" t="inlineStr">
        <is>
          <t>New Zealand kiwifruit harvest</t>
        </is>
      </c>
      <c r="I13" t="n">
        <v>3</v>
      </c>
      <c r="J13" t="n">
        <v>5</v>
      </c>
      <c r="K13" t="inlineStr">
        <is>
          <t>3-5</t>
        </is>
      </c>
      <c r="L13" t="inlineStr">
        <is>
          <t>Yes</t>
        </is>
      </c>
      <c r="M13" t="inlineStr">
        <is>
          <t>Zespri states New Zealand kiwifruit is harvested from March through May.</t>
        </is>
      </c>
      <c r="N13" t="inlineStr">
        <is>
          <t>When is Kiwifruit Season?</t>
        </is>
      </c>
      <c r="O13" t="inlineStr">
        <is>
          <t>Zespri</t>
        </is>
      </c>
      <c r="P13" t="inlineStr">
        <is>
          <t>https://www.zespri.com/en-US/blogdetail/when-is-kiwifruit-season</t>
        </is>
      </c>
      <c r="R13" t="inlineStr">
        <is>
          <t>High</t>
        </is>
      </c>
      <c r="S13" t="inlineStr">
        <is>
          <t>2026-04-24 14:43:30 ICT</t>
        </is>
      </c>
    </row>
    <row r="14">
      <c r="A14" t="inlineStr">
        <is>
          <t>B1</t>
        </is>
      </c>
      <c r="B14" t="n">
        <v>78</v>
      </c>
      <c r="C14" t="inlineStr">
        <is>
          <t>Dứa MD2 Thái Lan</t>
        </is>
      </c>
      <c r="D14" t="inlineStr">
        <is>
          <t>Trái cây</t>
        </is>
      </c>
      <c r="E14" t="inlineStr">
        <is>
          <t>Thái Lan</t>
        </is>
      </c>
      <c r="F14" t="inlineStr">
        <is>
          <t>Country</t>
        </is>
      </c>
      <c r="G14" t="inlineStr">
        <is>
          <t>Thailand</t>
        </is>
      </c>
      <c r="H14" t="inlineStr">
        <is>
          <t>Thailand pineapple general availability</t>
        </is>
      </c>
      <c r="I14" t="n">
        <v>1</v>
      </c>
      <c r="J14" t="n">
        <v>12</v>
      </c>
      <c r="K14" t="inlineStr">
        <is>
          <t>4-7</t>
        </is>
      </c>
      <c r="L14" t="inlineStr">
        <is>
          <t>No</t>
        </is>
      </c>
      <c r="M14" t="inlineStr">
        <is>
          <t>Thailand DOAE lists pineapple as available year-round, with peak volume in April-July.</t>
        </is>
      </c>
      <c r="N14" t="inlineStr">
        <is>
          <t>Pineapple</t>
        </is>
      </c>
      <c r="O14" t="inlineStr">
        <is>
          <t>Department of Agricultural Extension, Thailand</t>
        </is>
      </c>
      <c r="P14" t="inlineStr">
        <is>
          <t>https://www.doae.go.th/en/pineapple-2/</t>
        </is>
      </c>
      <c r="R14" t="inlineStr">
        <is>
          <t>High</t>
        </is>
      </c>
      <c r="S14" t="inlineStr">
        <is>
          <t>2026-04-24 14:43:30 ICT</t>
        </is>
      </c>
      <c r="T14" t="inlineStr">
        <is>
          <t>The official source is for Thai pineapple generally, not a month-by-month MD2-specific calendar.</t>
        </is>
      </c>
      <c r="U14" t="inlineStr">
        <is>
          <t>Keep the MD2 varietal season flagged as provisional.</t>
        </is>
      </c>
    </row>
    <row r="15">
      <c r="A15" t="inlineStr">
        <is>
          <t>B1</t>
        </is>
      </c>
      <c r="B15" t="n">
        <v>68</v>
      </c>
      <c r="C15" t="inlineStr">
        <is>
          <t>Chuối già Nam Mỹ</t>
        </is>
      </c>
      <c r="D15" t="inlineStr">
        <is>
          <t>Trái cây</t>
        </is>
      </c>
      <c r="E15" t="inlineStr">
        <is>
          <t>Nam Mỹ</t>
        </is>
      </c>
      <c r="F15" t="inlineStr">
        <is>
          <t>Regional tropical belt</t>
        </is>
      </c>
      <c r="G15" t="inlineStr">
        <is>
          <t>South America (exact country not yet confirmed)</t>
        </is>
      </c>
      <c r="H15" t="inlineStr">
        <is>
          <t>Perennial harvest window</t>
        </is>
      </c>
      <c r="I15" t="n">
        <v>1</v>
      </c>
      <c r="J15" t="n">
        <v>12</v>
      </c>
      <c r="K15" t="inlineStr">
        <is>
          <t>Year-round</t>
        </is>
      </c>
      <c r="L15" t="inlineStr">
        <is>
          <t>No</t>
        </is>
      </c>
      <c r="M15" t="inlineStr">
        <is>
          <t>FAO describes bananas and plantains as perennial crops that grow quickly and can be harvested all year round in tropical regions.</t>
        </is>
      </c>
      <c r="N15" t="inlineStr">
        <is>
          <t>The World Banana Economy, 1985-2002</t>
        </is>
      </c>
      <c r="O15" t="inlineStr">
        <is>
          <t>FAO</t>
        </is>
      </c>
      <c r="P15" t="inlineStr">
        <is>
          <t>https://www.fao.org/3/y5102e/y5102e04.htm</t>
        </is>
      </c>
      <c r="R15" t="inlineStr">
        <is>
          <t>High</t>
        </is>
      </c>
      <c r="S15" t="inlineStr">
        <is>
          <t>2026-04-24 14:48:34 ICT</t>
        </is>
      </c>
      <c r="T15" t="inlineStr">
        <is>
          <t>Catalog chỉ ghi Nam Mỹ, chưa xác định quốc gia xuất xứ thực tế của lô hàng.</t>
        </is>
      </c>
      <c r="U15" t="inlineStr">
        <is>
          <t>Dùng nguồn FAO để xác nhận đặc tính mùa vụ chung; chưa đủ để chốt vùng trồng cụ thể.</t>
        </is>
      </c>
    </row>
    <row r="16">
      <c r="A16" t="inlineStr">
        <is>
          <t>B3</t>
        </is>
      </c>
      <c r="B16" t="n">
        <v>64</v>
      </c>
      <c r="C16" t="inlineStr">
        <is>
          <t>Xoài cát Hòa Lộc</t>
        </is>
      </c>
      <c r="D16" t="inlineStr">
        <is>
          <t>Trái cây</t>
        </is>
      </c>
      <c r="E16" t="inlineStr">
        <is>
          <t>Tiền Giang, Việt Nam</t>
        </is>
      </c>
      <c r="F16" t="inlineStr">
        <is>
          <t>District / GI area</t>
        </is>
      </c>
      <c r="G16" t="inlineStr">
        <is>
          <t>Cái Bè, Tiền Giang</t>
        </is>
      </c>
      <c r="H16" t="inlineStr">
        <is>
          <t>Mùa vụ GI truyền thống</t>
        </is>
      </c>
      <c r="I16" t="n">
        <v>2</v>
      </c>
      <c r="J16" t="n">
        <v>5</v>
      </c>
      <c r="K16" t="inlineStr">
        <is>
          <t>3-5</t>
        </is>
      </c>
      <c r="L16" t="inlineStr">
        <is>
          <t>Yes</t>
        </is>
      </c>
      <c r="M16" t="inlineStr">
        <is>
          <t>Tài liệu chỉ dẫn địa lý của Cục Sở hữu trí tuệ ghi mùa vụ thu hoạch từ tháng 2 đến tháng 5 dương lịch.</t>
        </is>
      </c>
      <c r="N16" t="inlineStr">
        <is>
          <t>Chỉ dẫn địa lý – Di sản thiên nhiên và văn hóa Việt Nam</t>
        </is>
      </c>
      <c r="O16" t="inlineStr">
        <is>
          <t>Cục Sở hữu trí tuệ</t>
        </is>
      </c>
      <c r="P16" t="inlineStr">
        <is>
          <t>https://ipvietnam.gov.vn/documents/20195/811934/Ch%E1%BB%89%2Bd%E1%BA%ABn%2B%C4%91%E1%BB%8Ba%2Bl%C3%BD%2B%E2%80%93%2BDi%2Bs%E1%BA%A3n%2Bthi%C3%AAn%2Bnhi%C3%AAn%2Bv%C4%83n%2Bh%C3%B3a%2BVi%E1%BB%87t%2B%28ti%E1%BA%BFng%2BVi%E1%BB%87t%29.pdf/a56b0cb4-d8bd-475a-be64-bba40329fb9f</t>
        </is>
      </c>
      <c r="R16" t="inlineStr">
        <is>
          <t>High</t>
        </is>
      </c>
      <c r="S16" t="inlineStr">
        <is>
          <t>2026-04-24 14:48:34 ICT</t>
        </is>
      </c>
    </row>
    <row r="17">
      <c r="A17" t="inlineStr">
        <is>
          <t>B3</t>
        </is>
      </c>
      <c r="B17" t="n">
        <v>64</v>
      </c>
      <c r="C17" t="inlineStr">
        <is>
          <t>Xoài cát Hòa Lộc</t>
        </is>
      </c>
      <c r="D17" t="inlineStr">
        <is>
          <t>Trái cây</t>
        </is>
      </c>
      <c r="E17" t="inlineStr">
        <is>
          <t>Tiền Giang, Việt Nam</t>
        </is>
      </c>
      <c r="F17" t="inlineStr">
        <is>
          <t>District / GI area</t>
        </is>
      </c>
      <c r="G17" t="inlineStr">
        <is>
          <t>Cái Bè, Tiền Giang</t>
        </is>
      </c>
      <c r="H17" t="inlineStr">
        <is>
          <t>Mùa vụ tăng thêm</t>
        </is>
      </c>
      <c r="I17" t="n">
        <v>10</v>
      </c>
      <c r="J17" t="n">
        <v>12</v>
      </c>
      <c r="K17" t="inlineStr">
        <is>
          <t>10-12</t>
        </is>
      </c>
      <c r="L17" t="inlineStr">
        <is>
          <t>No</t>
        </is>
      </c>
      <c r="M17" t="inlineStr">
        <is>
          <t>Bộ Công Thương ghi nhận hiện nay người trồng đã tăng thêm mùa vụ từ tháng 10 đến tháng 12 dương lịch.</t>
        </is>
      </c>
      <c r="N17" t="inlineStr">
        <is>
          <t>Xoài cát Hòa Lộc nức lòng giới sành ăn</t>
        </is>
      </c>
      <c r="O17" t="inlineStr">
        <is>
          <t>Bộ Công Thương</t>
        </is>
      </c>
      <c r="P17" t="inlineStr">
        <is>
          <t>https://moit.gov.vn/tu-hao-hang-viet-nam/gioi-thieu-xoai-cat-hoa-loc.html</t>
        </is>
      </c>
      <c r="Q17" t="inlineStr">
        <is>
          <t>2022-09-08</t>
        </is>
      </c>
      <c r="R17" t="inlineStr">
        <is>
          <t>High</t>
        </is>
      </c>
      <c r="S17" t="inlineStr">
        <is>
          <t>2026-04-24 14:48:34 ICT</t>
        </is>
      </c>
      <c r="U17" t="inlineStr">
        <is>
          <t>Đây là mùa vụ mở rộng/rải vụ, không phải cửa sổ GI truyền thống.</t>
        </is>
      </c>
    </row>
    <row r="18">
      <c r="A18" t="inlineStr">
        <is>
          <t>B3</t>
        </is>
      </c>
      <c r="B18" t="n">
        <v>70</v>
      </c>
      <c r="C18" t="inlineStr">
        <is>
          <t>Thanh long ruột đỏ</t>
        </is>
      </c>
      <c r="D18" t="inlineStr">
        <is>
          <t>Trái cây</t>
        </is>
      </c>
      <c r="E18" t="inlineStr">
        <is>
          <t>Bình Thuận, Việt Nam</t>
        </is>
      </c>
      <c r="F18" t="inlineStr">
        <is>
          <t>Province / GI area</t>
        </is>
      </c>
      <c r="G18" t="inlineStr">
        <is>
          <t>Bình Thuận</t>
        </is>
      </c>
      <c r="H18" t="inlineStr">
        <is>
          <t>Vụ nghịch cuối năm - đầu năm</t>
        </is>
      </c>
      <c r="I18" t="inlineStr">
        <is>
          <t>10 âm lịch</t>
        </is>
      </c>
      <c r="J18" t="inlineStr">
        <is>
          <t>sau Tết</t>
        </is>
      </c>
      <c r="K18" t="inlineStr">
        <is>
          <t>tháng Chạp - sau Tết</t>
        </is>
      </c>
      <c r="L18" t="inlineStr">
        <is>
          <t>No</t>
        </is>
      </c>
      <c r="M18" t="inlineStr">
        <is>
          <t>Sở NN&amp;PTNT Bình Thuận ghi nhận nông dân bắt đầu chong đèn từ tháng 10 âm lịch và các lứa nghịch vụ thu hoạch từ tháng Chạp trở đi để phục vụ thị trường trước và sau Tết.</t>
        </is>
      </c>
      <c r="N18" t="inlineStr">
        <is>
          <t>Thanh long vào vụ nghịch: [Bài 1] Nâng cao chất lượng đáp ứng thị trường</t>
        </is>
      </c>
      <c r="O18" t="inlineStr">
        <is>
          <t>Sở NN&amp;PTNT Bình Thuận</t>
        </is>
      </c>
      <c r="P18" t="inlineStr">
        <is>
          <t>https://snnptnt.binhthuan.gov.vn/tin-nong-nghiep/thanh-long-vao-vu-nghich-bai-1-nang-cao-chat-luong-dap-ung-thi-truong-867366</t>
        </is>
      </c>
      <c r="Q18" t="inlineStr">
        <is>
          <t>2023-12-05</t>
        </is>
      </c>
      <c r="R18" t="inlineStr">
        <is>
          <t>High</t>
        </is>
      </c>
      <c r="S18" t="inlineStr">
        <is>
          <t>2026-04-24 14:48:34 ICT</t>
        </is>
      </c>
      <c r="T18" t="inlineStr">
        <is>
          <t>Mốc tháng đang ở dạng âm lịch theo nguồn gốc, không ép đổi sang dương lịch để tránh sai lệch theo từng năm.</t>
        </is>
      </c>
      <c r="U18" t="inlineStr">
        <is>
          <t>Nguồn hiện tại mới xác nhận chắc phần vụ nghịch.</t>
        </is>
      </c>
    </row>
    <row r="19">
      <c r="A19" t="inlineStr">
        <is>
          <t>B3</t>
        </is>
      </c>
      <c r="B19" t="n">
        <v>65</v>
      </c>
      <c r="C19" t="inlineStr">
        <is>
          <t>Dưa hấu không hạt</t>
        </is>
      </c>
      <c r="D19" t="inlineStr">
        <is>
          <t>Trái cây</t>
        </is>
      </c>
      <c r="E19" t="inlineStr">
        <is>
          <t>Long An, Việt Nam</t>
        </is>
      </c>
      <c r="F19" t="inlineStr">
        <is>
          <t>District</t>
        </is>
      </c>
      <c r="G19" t="inlineStr">
        <is>
          <t>Vĩnh Hưng, Long An</t>
        </is>
      </c>
      <c r="H19" t="inlineStr">
        <is>
          <t>Dưa hấu Tết</t>
        </is>
      </c>
      <c r="I19" t="n">
        <v>12</v>
      </c>
      <c r="J19" t="n">
        <v>1</v>
      </c>
      <c r="K19" t="inlineStr">
        <is>
          <t>12-1</t>
        </is>
      </c>
      <c r="L19" t="inlineStr">
        <is>
          <t>Yes</t>
        </is>
      </c>
      <c r="M19" t="inlineStr">
        <is>
          <t>Báo Long An ghi nhận nông dân Vĩnh Hưng gieo trồng hơn 250ha dưa hấu phục vụ thị trường Tết, dự kiến thu hoạch vào giữa tháng Chạp.</t>
        </is>
      </c>
      <c r="N19" t="inlineStr">
        <is>
          <t>Vĩnh Hưng: Nông dân gieo trồng hơn 250ha dưa hấu phục vụ thị trường tết</t>
        </is>
      </c>
      <c r="O19" t="inlineStr">
        <is>
          <t>Báo Long An</t>
        </is>
      </c>
      <c r="P19" t="inlineStr">
        <is>
          <t>https://baolongan.vn/vinh-hung-nong-dan-gieo-trong-hon-250ha-dua-hau-phuc-vu-thi-truong-tet-a186458.html</t>
        </is>
      </c>
      <c r="Q19" t="inlineStr">
        <is>
          <t>2024-12-01</t>
        </is>
      </c>
      <c r="R19" t="inlineStr">
        <is>
          <t>Medium</t>
        </is>
      </c>
      <c r="S19" t="inlineStr">
        <is>
          <t>2026-04-24 21:05:08 ICT</t>
        </is>
      </c>
      <c r="T19" t="inlineStr">
        <is>
          <t>Nguồn xác nhận vụ Tết tại Long An nhưng không tách riêng giống không hạt.</t>
        </is>
      </c>
      <c r="U19" t="inlineStr">
        <is>
          <t>Dùng chung cho SKU 65 và 118 đến khi có nguồn riêng cho giống không hạt/mini.</t>
        </is>
      </c>
    </row>
    <row r="20">
      <c r="A20" t="inlineStr">
        <is>
          <t>B3</t>
        </is>
      </c>
      <c r="B20" t="n">
        <v>66</v>
      </c>
      <c r="C20" t="inlineStr">
        <is>
          <t>Bơ Booth 7</t>
        </is>
      </c>
      <c r="D20" t="inlineStr">
        <is>
          <t>Trái cây</t>
        </is>
      </c>
      <c r="E20" t="inlineStr">
        <is>
          <t>Đắk Lắk, Việt Nam</t>
        </is>
      </c>
      <c r="F20" t="inlineStr">
        <is>
          <t>Province</t>
        </is>
      </c>
      <c r="G20" t="inlineStr">
        <is>
          <t>Đắk Lắk</t>
        </is>
      </c>
      <c r="H20" t="inlineStr">
        <is>
          <t>Chính vụ và vụ muộn</t>
        </is>
      </c>
      <c r="I20" t="n">
        <v>4</v>
      </c>
      <c r="J20" t="n">
        <v>11</v>
      </c>
      <c r="K20" t="inlineStr">
        <is>
          <t>4-7; 9-11</t>
        </is>
      </c>
      <c r="L20" t="inlineStr">
        <is>
          <t>Yes</t>
        </is>
      </c>
      <c r="M20" t="inlineStr">
        <is>
          <t>Sở Công Thương Đắk Lắk ghi cây bơ có chính vụ từ tháng 4-7 và vụ muộn từ tháng 9-11.</t>
        </is>
      </c>
      <c r="N20" t="inlineStr">
        <is>
          <t>Bơ Đắk Lắk - Hành trình đến với người tiêu dùng</t>
        </is>
      </c>
      <c r="O20" t="inlineStr">
        <is>
          <t>Sở Công Thương Đắk Lắk</t>
        </is>
      </c>
      <c r="P20" t="inlineStr">
        <is>
          <t>https://socongthuong.daklak.gov.vn/vi/news/hoat-dong-nganh-cong-thuong/bo-dak-lak-hanh-trinh-den-voi-nguoi-tieu-dung-3497.html</t>
        </is>
      </c>
      <c r="R20" t="inlineStr">
        <is>
          <t>High</t>
        </is>
      </c>
      <c r="S20" t="inlineStr">
        <is>
          <t>2026-04-24 21:05:08 ICT</t>
        </is>
      </c>
      <c r="T20" t="inlineStr">
        <is>
          <t>Nguồn nói bơ Đắk Lắk nói chung, trong đó có Booth 7; chưa tách riêng tuyệt đối lịch Booth 7 theo từng vùng nhỏ.</t>
        </is>
      </c>
    </row>
    <row r="21">
      <c r="A21" t="inlineStr">
        <is>
          <t>B3</t>
        </is>
      </c>
      <c r="B21" t="n">
        <v>67</v>
      </c>
      <c r="C21" t="inlineStr">
        <is>
          <t>Dâu tây Đà Lạt</t>
        </is>
      </c>
      <c r="D21" t="inlineStr">
        <is>
          <t>Trái cây</t>
        </is>
      </c>
      <c r="E21" t="inlineStr">
        <is>
          <t>Đà Lạt, Việt Nam</t>
        </is>
      </c>
      <c r="F21" t="inlineStr">
        <is>
          <t>City / nearby district</t>
        </is>
      </c>
      <c r="G21" t="inlineStr">
        <is>
          <t>Đà Lạt - Lạc Dương, Lâm Đồng</t>
        </is>
      </c>
      <c r="H21" t="inlineStr">
        <is>
          <t>Chu kỳ thu hoạch vụ nhà kính</t>
        </is>
      </c>
      <c r="I21" t="inlineStr">
        <is>
          <t>Sau 4 tháng xuống giống</t>
        </is>
      </c>
      <c r="J21" t="inlineStr">
        <is>
          <t>khoảng 6 tháng sau đó</t>
        </is>
      </c>
      <c r="K21" t="inlineStr">
        <is>
          <t>Mùa nắng cho sản lượng tốt hơn</t>
        </is>
      </c>
      <c r="L21" t="inlineStr">
        <is>
          <t>No</t>
        </is>
      </c>
      <c r="M21" t="inlineStr">
        <is>
          <t>Nguồn Lâm Đồng ghi giống PS8.07/PS8.10 sau khoảng 4 tháng xuống giống bước vào thu hoạch liên tục đến khoảng 6 tháng sau đó; mùa mưa làm sản lượng giảm mạnh so với mùa nắng.</t>
        </is>
      </c>
      <c r="N21" t="inlineStr">
        <is>
          <t>Khảo nghiệm 2 giống dâu tây mới ở Đà Lạt</t>
        </is>
      </c>
      <c r="O21" t="inlineStr">
        <is>
          <t>Thị trấn Lạc Dương, Lâm Đồng</t>
        </is>
      </c>
      <c r="P21" t="inlineStr">
        <is>
          <t>https://thitranlacduong.lamdong.gov.vn/chi-tiet-tin-tuc/?param=khao-nghiem-2-giong-dau-tay-moi-o-da-lat</t>
        </is>
      </c>
      <c r="R21" t="inlineStr">
        <is>
          <t>High</t>
        </is>
      </c>
      <c r="S21" t="inlineStr">
        <is>
          <t>2026-04-24 21:05:08 ICT</t>
        </is>
      </c>
      <c r="T21" t="inlineStr">
        <is>
          <t>Dâu tây công nghệ cao có thể trồng/thu quanh năm theo lứa; không nên biến thành tháng cố định nếu không có ngày xuống giống.</t>
        </is>
      </c>
      <c r="U21" t="inlineStr">
        <is>
          <t>Dùng thêm nguồn Khuyến nông Lâm Đồng về mùa mưa làm giảm sản lượng.</t>
        </is>
      </c>
    </row>
    <row r="22">
      <c r="A22" t="inlineStr">
        <is>
          <t>B3</t>
        </is>
      </c>
      <c r="B22" t="n">
        <v>72</v>
      </c>
      <c r="C22" t="inlineStr">
        <is>
          <t>Mít Thái siêu ngọt</t>
        </is>
      </c>
      <c r="D22" t="inlineStr">
        <is>
          <t>Trái cây</t>
        </is>
      </c>
      <c r="E22" t="inlineStr">
        <is>
          <t>Tiền Giang, Việt Nam</t>
        </is>
      </c>
      <c r="F22" t="inlineStr">
        <is>
          <t>Province / specialized areas</t>
        </is>
      </c>
      <c r="G22" t="inlineStr">
        <is>
          <t>Cái Bè, Cai Lậy, Châu Thành, Tân Phước, TX Cai Lậy</t>
        </is>
      </c>
      <c r="H22" t="inlineStr">
        <is>
          <t>Rải vụ gần như quanh năm</t>
        </is>
      </c>
      <c r="I22" t="n">
        <v>1</v>
      </c>
      <c r="J22" t="n">
        <v>12</v>
      </c>
      <c r="K22" t="inlineStr">
        <is>
          <t>Year-round</t>
        </is>
      </c>
      <c r="L22" t="inlineStr">
        <is>
          <t>No</t>
        </is>
      </c>
      <c r="M22" t="inlineStr">
        <is>
          <t>Cổng TTĐT Tiền Giang ghi mít Thái siêu sớm cho thu hoạch rải vụ gần như quanh năm.</t>
        </is>
      </c>
      <c r="N22" t="inlineStr">
        <is>
          <t>Giá mít Thái tăng mạnh, giúp nông dân ổn định cuộc sống trong tình hình dịch bệnh còn phức tạp</t>
        </is>
      </c>
      <c r="O22" t="inlineStr">
        <is>
          <t>Cổng thông tin điện tử tỉnh Tiền Giang</t>
        </is>
      </c>
      <c r="P22" t="inlineStr">
        <is>
          <t>https://tiengiang.gov.vn/chi-tiet-tin?%2Fgia-mit-thai-tang-manh-giup-nong-dan-on-inh-cuoc-song-trong-tinh-hinh-dich-benh-con-phuc-tap%2F32403960=</t>
        </is>
      </c>
      <c r="R22" t="inlineStr">
        <is>
          <t>High</t>
        </is>
      </c>
      <c r="S22" t="inlineStr">
        <is>
          <t>2026-04-24 21:05:08 ICT</t>
        </is>
      </c>
    </row>
    <row r="23">
      <c r="A23" t="inlineStr">
        <is>
          <t>B3</t>
        </is>
      </c>
      <c r="B23" t="n">
        <v>116</v>
      </c>
      <c r="C23" t="inlineStr">
        <is>
          <t>Chuối già Việt Nam</t>
        </is>
      </c>
      <c r="D23" t="inlineStr">
        <is>
          <t>Trái cây</t>
        </is>
      </c>
      <c r="E23" t="inlineStr">
        <is>
          <t>Tiền Giang, Việt Nam</t>
        </is>
      </c>
      <c r="F23" t="inlineStr">
        <is>
          <t>Domestic tropical crop</t>
        </is>
      </c>
      <c r="G23" t="inlineStr">
        <is>
          <t>Việt Nam / Tiền Giang chưa có nguồn tỉnh đủ chi tiết</t>
        </is>
      </c>
      <c r="H23" t="inlineStr">
        <is>
          <t>Thu hoạch quanh năm - bối cảnh cây chuối</t>
        </is>
      </c>
      <c r="I23" t="n">
        <v>1</v>
      </c>
      <c r="J23" t="n">
        <v>12</v>
      </c>
      <c r="K23" t="inlineStr">
        <is>
          <t>1-4 sản lượng nhiều theo nguồn khuyến nông</t>
        </is>
      </c>
      <c r="L23" t="inlineStr">
        <is>
          <t>No</t>
        </is>
      </c>
      <c r="M23" t="inlineStr">
        <is>
          <t>Nguồn Khuyến nông Việt Nam ghi cây chuối có thể thu hoạch quanh năm, sản lượng nhiều từ tháng 1 đến tháng 4; nguồn không riêng Tiền Giang.</t>
        </is>
      </c>
      <c r="N23" t="inlineStr">
        <is>
          <t>Đồng Tháp: Giá chuối tăng, nông dân vẫn lo</t>
        </is>
      </c>
      <c r="O23" t="inlineStr">
        <is>
          <t>Trung tâm Khuyến nông Quốc gia</t>
        </is>
      </c>
      <c r="P23" t="inlineStr">
        <is>
          <t>https://khuyennongvn.gov.vn/thong-tin-thi-truong/thi-truong-trong-nuoc/dong-thap-gia-chuoi-tang-nong-dan-van-lo-14376.html</t>
        </is>
      </c>
      <c r="R23" t="inlineStr">
        <is>
          <t>Medium</t>
        </is>
      </c>
      <c r="S23" t="inlineStr">
        <is>
          <t>2026-04-24 21:05:08 ICT</t>
        </is>
      </c>
      <c r="T23" t="inlineStr">
        <is>
          <t>Chưa tìm được nguồn cực mạnh riêng cho chuối già Tiền Giang; tạm dùng nguồn khuyến nông cho cây chuối vùng tương đồng và phải kiểm tiếp.</t>
        </is>
      </c>
    </row>
    <row r="24">
      <c r="A24" t="inlineStr">
        <is>
          <t>B3</t>
        </is>
      </c>
      <c r="B24" t="n">
        <v>118</v>
      </c>
      <c r="C24" t="inlineStr">
        <is>
          <t>Dưa hấu không hạt mini</t>
        </is>
      </c>
      <c r="D24" t="inlineStr">
        <is>
          <t>Trái cây</t>
        </is>
      </c>
      <c r="E24" t="inlineStr">
        <is>
          <t>Long An, Việt Nam</t>
        </is>
      </c>
      <c r="F24" t="inlineStr">
        <is>
          <t>District</t>
        </is>
      </c>
      <c r="G24" t="inlineStr">
        <is>
          <t>Vĩnh Hưng, Long An</t>
        </is>
      </c>
      <c r="H24" t="inlineStr">
        <is>
          <t>Dưa hấu Tết</t>
        </is>
      </c>
      <c r="I24" t="n">
        <v>12</v>
      </c>
      <c r="J24" t="n">
        <v>1</v>
      </c>
      <c r="K24" t="inlineStr">
        <is>
          <t>12-1</t>
        </is>
      </c>
      <c r="L24" t="inlineStr">
        <is>
          <t>Yes</t>
        </is>
      </c>
      <c r="M24" t="inlineStr">
        <is>
          <t>Báo Long An ghi nhận nông dân Vĩnh Hưng gieo trồng hơn 250ha dưa hấu phục vụ thị trường Tết, dự kiến thu hoạch vào giữa tháng Chạp.</t>
        </is>
      </c>
      <c r="N24" t="inlineStr">
        <is>
          <t>Vĩnh Hưng: Nông dân gieo trồng hơn 250ha dưa hấu phục vụ thị trường tết</t>
        </is>
      </c>
      <c r="O24" t="inlineStr">
        <is>
          <t>Báo Long An</t>
        </is>
      </c>
      <c r="P24" t="inlineStr">
        <is>
          <t>https://baolongan.vn/vinh-hung-nong-dan-gieo-trong-hon-250ha-dua-hau-phuc-vu-thi-truong-tet-a186458.html</t>
        </is>
      </c>
      <c r="Q24" t="inlineStr">
        <is>
          <t>2024-12-01</t>
        </is>
      </c>
      <c r="R24" t="inlineStr">
        <is>
          <t>Medium</t>
        </is>
      </c>
      <c r="S24" t="inlineStr">
        <is>
          <t>2026-04-24 21:05:08 ICT</t>
        </is>
      </c>
      <c r="T24" t="inlineStr">
        <is>
          <t>Nguồn xác nhận vụ Tết tại Long An nhưng không tách riêng giống không hạt mini.</t>
        </is>
      </c>
    </row>
    <row r="25">
      <c r="A25" t="inlineStr">
        <is>
          <t>B3</t>
        </is>
      </c>
      <c r="B25" t="n">
        <v>119</v>
      </c>
      <c r="C25" t="inlineStr">
        <is>
          <t>Thanh long ruột trắng</t>
        </is>
      </c>
      <c r="D25" t="inlineStr">
        <is>
          <t>Trái cây</t>
        </is>
      </c>
      <c r="E25" t="inlineStr">
        <is>
          <t>Bình Thuận, Việt Nam</t>
        </is>
      </c>
      <c r="F25" t="inlineStr">
        <is>
          <t>Province / GI area</t>
        </is>
      </c>
      <c r="G25" t="inlineStr">
        <is>
          <t>Bình Thuận</t>
        </is>
      </c>
      <c r="H25" t="inlineStr">
        <is>
          <t>Vụ nghịch cuối năm - đầu năm</t>
        </is>
      </c>
      <c r="I25" t="inlineStr">
        <is>
          <t>10 âm lịch</t>
        </is>
      </c>
      <c r="J25" t="inlineStr">
        <is>
          <t>sau Tết</t>
        </is>
      </c>
      <c r="K25" t="inlineStr">
        <is>
          <t>tháng Chạp - sau Tết</t>
        </is>
      </c>
      <c r="L25" t="inlineStr">
        <is>
          <t>No</t>
        </is>
      </c>
      <c r="M25" t="inlineStr">
        <is>
          <t>Sở NN&amp;PTNT Bình Thuận ghi nông dân chong đèn từ tháng 10 âm lịch và các lứa nghịch vụ thu hoạch từ tháng Chạp trở đi.</t>
        </is>
      </c>
      <c r="N25" t="inlineStr">
        <is>
          <t>Thanh long vào vụ nghịch: [Bài 1] Nâng cao chất lượng đáp ứng thị trường</t>
        </is>
      </c>
      <c r="O25" t="inlineStr">
        <is>
          <t>Sở NN&amp;PTNT Bình Thuận</t>
        </is>
      </c>
      <c r="P25" t="inlineStr">
        <is>
          <t>https://snnptnt.binhthuan.gov.vn/tin-nong-nghiep/thanh-long-vao-vu-nghich-bai-1-nang-cao-chat-luong-dap-ung-thi-truong-867366</t>
        </is>
      </c>
      <c r="Q25" t="inlineStr">
        <is>
          <t>2023-12-05</t>
        </is>
      </c>
      <c r="R25" t="inlineStr">
        <is>
          <t>High</t>
        </is>
      </c>
      <c r="S25" t="inlineStr">
        <is>
          <t>2026-04-24 21:05:08 ICT</t>
        </is>
      </c>
      <c r="T25" t="inlineStr">
        <is>
          <t>Nguồn ghi thanh long Bình Thuận nói chung, chưa tách riêng ruột trắng; mốc tháng ở dạng âm lịch nên chưa đổi sang dương lịch.</t>
        </is>
      </c>
    </row>
    <row r="26">
      <c r="A26" t="inlineStr">
        <is>
          <t>B3</t>
        </is>
      </c>
      <c r="B26" t="n">
        <v>120</v>
      </c>
      <c r="C26" t="inlineStr">
        <is>
          <t>Sầu riêng Ri6</t>
        </is>
      </c>
      <c r="D26" t="inlineStr">
        <is>
          <t>Trái cây</t>
        </is>
      </c>
      <c r="E26" t="inlineStr">
        <is>
          <t>Đắk Lắk, Việt Nam</t>
        </is>
      </c>
      <c r="F26" t="inlineStr">
        <is>
          <t>Province</t>
        </is>
      </c>
      <c r="G26" t="inlineStr">
        <is>
          <t>Đắk Lắk</t>
        </is>
      </c>
      <c r="H26" t="inlineStr">
        <is>
          <t>Vụ thu hoạch chính ở Đắk Lắk</t>
        </is>
      </c>
      <c r="I26" t="n">
        <v>8</v>
      </c>
      <c r="J26" t="n">
        <v>9</v>
      </c>
      <c r="K26" t="inlineStr">
        <is>
          <t>8-9</t>
        </is>
      </c>
      <c r="L26" t="inlineStr">
        <is>
          <t>Yes</t>
        </is>
      </c>
      <c r="M26" t="inlineStr">
        <is>
          <t>Khuyến nông Việt Nam ghi sầu riêng Đắk Lắk bắt đầu vào vụ; chính vụ giống Dona tại Krông Pắc từ 27/8 đến đầu tháng 9/2022; Ri6 được nêu cùng nhóm giống chất lượng trong nguồn khác của địa phương.</t>
        </is>
      </c>
      <c r="N26" t="inlineStr">
        <is>
          <t>Đắk Lắk: Sầu riêng được giá, nhưng năng suất năm nay lại thấp</t>
        </is>
      </c>
      <c r="O26" t="inlineStr">
        <is>
          <t>Trung tâm Khuyến nông Quốc gia</t>
        </is>
      </c>
      <c r="P26" t="inlineStr">
        <is>
          <t>https://khuyennongvn.gov.vn/chuong-trinh-nganh-nong-nghiep/tai-co-cau-nganh-nong-nghiep/dak-lak-sau-rieng-duoc-gia-nhung-nang-suat-nam-nay-lai-thap-22052.html</t>
        </is>
      </c>
      <c r="R26" t="inlineStr">
        <is>
          <t>Medium</t>
        </is>
      </c>
      <c r="S26" t="inlineStr">
        <is>
          <t>2026-04-24 21:05:08 ICT</t>
        </is>
      </c>
      <c r="T26" t="inlineStr">
        <is>
          <t>Nguồn mùa vụ mạnh cho sầu riêng Đắk Lắk nhưng không tách riêng Ri6; cần thêm nguồn cultivar Ri6 tại Đắk Lắk nếu dùng làm claim chính xác tuyệt đối.</t>
        </is>
      </c>
    </row>
    <row r="27">
      <c r="A27" t="inlineStr">
        <is>
          <t>B3</t>
        </is>
      </c>
      <c r="B27" t="n">
        <v>69</v>
      </c>
      <c r="C27" t="inlineStr">
        <is>
          <t>Đu đủ vàng</t>
        </is>
      </c>
      <c r="D27" t="inlineStr">
        <is>
          <t>Trái cây</t>
        </is>
      </c>
      <c r="E27" t="inlineStr">
        <is>
          <t>Bình Phước, Việt Nam</t>
        </is>
      </c>
      <c r="F27" t="inlineStr">
        <is>
          <t>Province</t>
        </is>
      </c>
      <c r="G27" t="inlineStr">
        <is>
          <t>Bình Phước</t>
        </is>
      </c>
      <c r="H27" t="inlineStr">
        <is>
          <t>Cây ăn trái nhiệt đới gần như quanh năm</t>
        </is>
      </c>
      <c r="I27" t="n">
        <v>1</v>
      </c>
      <c r="J27" t="n">
        <v>12</v>
      </c>
      <c r="K27" t="inlineStr">
        <is>
          <t>Year-round</t>
        </is>
      </c>
      <c r="L27" t="inlineStr">
        <is>
          <t>No</t>
        </is>
      </c>
      <c r="M27" t="inlineStr">
        <is>
          <t>Cổng thông tin Bình Phước ghi nhiều chủng loại cây ăn trái của tỉnh hầu như cho thu hoạch quanh năm, trong danh sách có đu đủ.</t>
        </is>
      </c>
      <c r="N27" t="inlineStr">
        <is>
          <t>Bình Phước có nhiều chủng loại cây ăn trái hầu như cho thu hoạch quanh năm</t>
        </is>
      </c>
      <c r="O27" t="inlineStr">
        <is>
          <t>Cổng thông tin điện tử tỉnh Bình Phước</t>
        </is>
      </c>
      <c r="P27" t="inlineStr">
        <is>
          <t>https://binhphuoc.gov.vn/vi/news/Hoat-dong-huyen-thi/phuoc-co-nhieu-chung-loai-cay-an-trai-hau-nhu-cho-thu-hoach-quanh-nam-21193.html</t>
        </is>
      </c>
      <c r="R27" t="inlineStr">
        <is>
          <t>High</t>
        </is>
      </c>
      <c r="S27" t="inlineStr">
        <is>
          <t>2026-04-24 21:05:08 ICT</t>
        </is>
      </c>
      <c r="T27" t="inlineStr">
        <is>
          <t>Nguồn xác nhận đu đủ trong nhóm cây ăn trái Bình Phước thu hoạch gần như quanh năm, chưa tách riêng giống đu đủ vàng.</t>
        </is>
      </c>
    </row>
    <row r="28">
      <c r="A28" t="inlineStr">
        <is>
          <t>B2</t>
        </is>
      </c>
      <c r="B28" t="n">
        <v>46</v>
      </c>
      <c r="C28" t="inlineStr">
        <is>
          <t>Khoai lang Nhật</t>
        </is>
      </c>
      <c r="D28" t="inlineStr">
        <is>
          <t>Củ &amp; rễ</t>
        </is>
      </c>
      <c r="E28" t="inlineStr">
        <is>
          <t>Nhật Bản (trồng VN)</t>
        </is>
      </c>
      <c r="F28" t="inlineStr">
        <is>
          <t>Province</t>
        </is>
      </c>
      <c r="G28" t="inlineStr">
        <is>
          <t>Bắc Giang, Việt Nam</t>
        </is>
      </c>
      <c r="H28" t="inlineStr">
        <is>
          <t>2 vụ/năm: vụ Xuân và vụ Đông</t>
        </is>
      </c>
      <c r="I28" t="n">
        <v>2</v>
      </c>
      <c r="J28" t="n">
        <v>12</v>
      </c>
      <c r="K28" t="inlineStr">
        <is>
          <t>Tháng 5 âm lịch; tháng 12 âm lịch</t>
        </is>
      </c>
      <c r="L28" t="inlineStr">
        <is>
          <t>Yes</t>
        </is>
      </c>
      <c r="M28" t="inlineStr">
        <is>
          <t>Khuyến nông Quốc gia ghi khoai lang Nhật tại Bắc Giang trồng được 2 vụ/năm, khoảng 4-5 tháng/vụ; vụ Xuân trồng sau Tết, thu đầu tháng 5 âm lịch; vụ Đông trồng cuối tháng 8-đầu tháng 9, thu tháng 12 âm lịch.</t>
        </is>
      </c>
      <c r="N28" t="inlineStr">
        <is>
          <t>Bắc Giang: Trồng khoai thu nhập trên 120 -150 triệu đồng/ha/vụ</t>
        </is>
      </c>
      <c r="O28" t="inlineStr">
        <is>
          <t>Trung tâm Khuyến nông Quốc gia</t>
        </is>
      </c>
      <c r="P28" t="inlineStr">
        <is>
          <t>https://khuyennongvn.gov.vn/chuong-trinh-nganh-nong-nghiep/tai-co-cau-nganh-nong-nghiep/bac-giang-trong-khoai-thu-nhap-tren-120-150-trieu-donghavu-15779.html</t>
        </is>
      </c>
      <c r="Q28" t="inlineStr">
        <is>
          <t>2017-06-28</t>
        </is>
      </c>
      <c r="R28" t="inlineStr">
        <is>
          <t>High</t>
        </is>
      </c>
      <c r="S28" t="inlineStr">
        <is>
          <t>2026-04-24 21:12:38 ICT</t>
        </is>
      </c>
      <c r="T28" t="inlineStr">
        <is>
          <t>Nguồn xác nhận khoai lang Nhật trồng tại Bắc Giang, không xác nhận riêng SKU hiện tại hoặc chứng nhận GlobalGAP.</t>
        </is>
      </c>
    </row>
    <row r="29">
      <c r="A29" t="inlineStr">
        <is>
          <t>B2</t>
        </is>
      </c>
      <c r="B29" t="n">
        <v>46</v>
      </c>
      <c r="C29" t="inlineStr">
        <is>
          <t>Khoai lang Nhật</t>
        </is>
      </c>
      <c r="D29" t="inlineStr">
        <is>
          <t>Củ &amp; rễ</t>
        </is>
      </c>
      <c r="E29" t="inlineStr">
        <is>
          <t>Nhật Bản (trồng VN)</t>
        </is>
      </c>
      <c r="F29" t="inlineStr">
        <is>
          <t>Province</t>
        </is>
      </c>
      <c r="G29" t="inlineStr">
        <is>
          <t>Tây Ninh, Việt Nam</t>
        </is>
      </c>
      <c r="H29" t="inlineStr">
        <is>
          <t>Đông Xuân; mô hình phù hợp khí hậu Tây Ninh</t>
        </is>
      </c>
      <c r="I29" t="n">
        <v>12</v>
      </c>
      <c r="J29" t="n">
        <v>4</v>
      </c>
      <c r="K29" t="inlineStr">
        <is>
          <t>Đông Xuân</t>
        </is>
      </c>
      <c r="L29" t="inlineStr">
        <is>
          <t>No</t>
        </is>
      </c>
      <c r="M29" t="inlineStr">
        <is>
          <t>Khuyến nông Quốc gia ghi mô hình khoai lang tím Nhật tại Tây Ninh thu hoạch vụ Đông Xuân, phù hợp thổ nhưỡng và khí hậu địa phương.</t>
        </is>
      </c>
      <c r="N29" t="inlineStr">
        <is>
          <t>Khoai lang tím Nhật - Cây trồng tiềm năng cho nông dân Tây Ninh</t>
        </is>
      </c>
      <c r="O29" t="inlineStr">
        <is>
          <t>Trung tâm Khuyến nông Quốc gia</t>
        </is>
      </c>
      <c r="P29" t="inlineStr">
        <is>
          <t>https://khuyennongvn.gov.vn/chuong-trinh-nganh-nong-nghiep/tai-co-cau-nganh-nong-nghiep/khoai-lang-tim-nhat-cay-trong-tiem-nang-cho-nong-dan-tay-ninh-31095.html</t>
        </is>
      </c>
      <c r="Q29" t="inlineStr">
        <is>
          <t>2025-04-25</t>
        </is>
      </c>
      <c r="R29" t="inlineStr">
        <is>
          <t>High</t>
        </is>
      </c>
      <c r="S29" t="inlineStr">
        <is>
          <t>2026-04-24 21:12:38 ICT</t>
        </is>
      </c>
      <c r="T29" t="inlineStr">
        <is>
          <t>Nguồn là khoai lang tím Nhật tại Tây Ninh, không phải mọi loại khoai lang Nhật.</t>
        </is>
      </c>
    </row>
    <row r="30">
      <c r="A30" t="inlineStr">
        <is>
          <t>B2</t>
        </is>
      </c>
      <c r="B30" t="n">
        <v>52</v>
      </c>
      <c r="C30" t="inlineStr">
        <is>
          <t>Nấm hương khô</t>
        </is>
      </c>
      <c r="D30" t="inlineStr">
        <is>
          <t>Nấm</t>
        </is>
      </c>
      <c r="E30" t="inlineStr">
        <is>
          <t>Trung Quốc</t>
        </is>
      </c>
      <c r="F30" t="inlineStr">
        <is>
          <t>Country</t>
        </is>
      </c>
      <c r="G30" t="inlineStr">
        <is>
          <t>Trung Quốc</t>
        </is>
      </c>
      <c r="H30" t="inlineStr">
        <is>
          <t>Sản phẩm khô/chế biến; mùa vụ tươi phụ thuộc vùng và mô hình trồng</t>
        </is>
      </c>
      <c r="K30" t="inlineStr">
        <is>
          <t>Không áp dụng một mùa bán lẻ cố định</t>
        </is>
      </c>
      <c r="L30" t="inlineStr">
        <is>
          <t>No</t>
        </is>
      </c>
      <c r="M30" t="inlineStr">
        <is>
          <t>FAO ghi Trung Quốc là nhà sản xuất lớn của nấm hương và xuất khẩu nấm hương khô; nguồn không cung cấp lịch mùa vụ chi tiết theo vùng.</t>
        </is>
      </c>
      <c r="N30" t="inlineStr">
        <is>
          <t>Non-Wood Forest Products in 15 Countries of Tropical Asia: An Overview</t>
        </is>
      </c>
      <c r="O30" t="inlineStr">
        <is>
          <t>FAO</t>
        </is>
      </c>
      <c r="P30" t="inlineStr">
        <is>
          <t>https://fao.org/docrep/fao/005/AB598E/AB598E00.pdf</t>
        </is>
      </c>
      <c r="Q30" t="inlineStr">
        <is>
          <t>2002</t>
        </is>
      </c>
      <c r="R30" t="inlineStr">
        <is>
          <t>High</t>
        </is>
      </c>
      <c r="S30" t="inlineStr">
        <is>
          <t>2026-04-24 21:12:38 ICT</t>
        </is>
      </c>
      <c r="T30" t="inlineStr">
        <is>
          <t>Nguồn xác nhận sản xuất/xuất khẩu nấm hương khô Trung Quốc, không xác nhận mùa vụ cụ thể của SKU.</t>
        </is>
      </c>
    </row>
    <row r="31">
      <c r="A31" t="inlineStr">
        <is>
          <t>B2</t>
        </is>
      </c>
      <c r="B31" t="n">
        <v>53</v>
      </c>
      <c r="C31" t="inlineStr">
        <is>
          <t>Nấm linh chi đỏ</t>
        </is>
      </c>
      <c r="D31" t="inlineStr">
        <is>
          <t>Nấm</t>
        </is>
      </c>
      <c r="E31" t="inlineStr">
        <is>
          <t>Hàn Quốc (trồng VN)</t>
        </is>
      </c>
      <c r="F31" t="inlineStr">
        <is>
          <t>Province</t>
        </is>
      </c>
      <c r="G31" t="inlineStr">
        <is>
          <t>Hòa Bình, Việt Nam</t>
        </is>
      </c>
      <c r="H31" t="inlineStr">
        <is>
          <t>Nuôi trồng theo lứa; lứa đầu khoảng 3 tháng, lứa sau 70-80 ngày</t>
        </is>
      </c>
      <c r="K31" t="inlineStr">
        <is>
          <t>Theo chu kỳ nuôi trồng, không phải mùa tự nhiên cố định</t>
        </is>
      </c>
      <c r="L31" t="inlineStr">
        <is>
          <t>No</t>
        </is>
      </c>
      <c r="M31" t="inlineStr">
        <is>
          <t>Khuyến nông Quốc gia ghi mô hình nấm linh chi đỏ trên giá thể gỗ keo tươi tại Hòa Bình: khoảng 3 tháng cho thu hoạch lứa đầu, một bịch có thể thu 3 lần, lứa sau khoảng 70-80 ngày.</t>
        </is>
      </c>
      <c r="N31" t="inlineStr">
        <is>
          <t>Hòa Bình: Trồng nấm linh chi trên giá thể gỗ keo tươi - mô hình kinh tế hiệu quả</t>
        </is>
      </c>
      <c r="O31" t="inlineStr">
        <is>
          <t>Trung tâm Khuyến nông Quốc gia</t>
        </is>
      </c>
      <c r="P31" t="inlineStr">
        <is>
          <t>https://khuyennongvn.gov.vn/chuong-trinh-nganh-nong-nghiep/tai-co-cau-nganh-nong-nghiep/hoa-binh-trong-nam-linh-chi-tren-gia-the-go-keo-tuoi--mo-hinh-kinh-te-hieu-qua-21892.html</t>
        </is>
      </c>
      <c r="Q31" t="inlineStr">
        <is>
          <t>2022-06-13</t>
        </is>
      </c>
      <c r="R31" t="inlineStr">
        <is>
          <t>High</t>
        </is>
      </c>
      <c r="S31" t="inlineStr">
        <is>
          <t>2026-04-24 21:12:38 ICT</t>
        </is>
      </c>
      <c r="T31" t="inlineStr">
        <is>
          <t>Nguồn xác nhận nấm linh chi đỏ trồng tại Việt Nam, chưa xác nhận giống/nguồn gốc Hàn Quốc của SKU.</t>
        </is>
      </c>
    </row>
    <row r="32">
      <c r="A32" t="inlineStr">
        <is>
          <t>B2</t>
        </is>
      </c>
      <c r="B32" t="n">
        <v>115</v>
      </c>
      <c r="C32" t="inlineStr">
        <is>
          <t>Tỏi tây</t>
        </is>
      </c>
      <c r="D32" t="inlineStr">
        <is>
          <t>Rau thơm &amp; gia vị</t>
        </is>
      </c>
      <c r="E32" t="inlineStr">
        <is>
          <t>Trung Quốc</t>
        </is>
      </c>
      <c r="F32" t="inlineStr">
        <is>
          <t>Country</t>
        </is>
      </c>
      <c r="G32" t="inlineStr">
        <is>
          <t>Trung Quốc</t>
        </is>
      </c>
      <c r="H32" t="inlineStr">
        <is>
          <t>Allium trồng rộng ở Trung Quốc; chưa có mùa tỏi tây nhập khẩu cụ thể</t>
        </is>
      </c>
      <c r="K32" t="inlineStr">
        <is>
          <t>Cần kiểm chứng thêm theo nhà cung cấp nhập khẩu</t>
        </is>
      </c>
      <c r="L32" t="inlineStr">
        <is>
          <t>No</t>
        </is>
      </c>
      <c r="M32" t="inlineStr">
        <is>
          <t>ISHS ghi nhóm rau Allium là cây rau quan trọng tại Trung Quốc, nhưng dữ liệu công khai tìm được không đủ để xác nhận lịch mùa vụ riêng cho tỏi tây nhập khẩu.</t>
        </is>
      </c>
      <c r="N32" t="inlineStr">
        <is>
          <t>ALLIUM PRODUCTION AND RESEARCH IN CHINA</t>
        </is>
      </c>
      <c r="O32" t="inlineStr">
        <is>
          <t>International Society for Horticultural Science</t>
        </is>
      </c>
      <c r="P32" t="inlineStr">
        <is>
          <t>https://www.ishs.org/ishs-article/358_19</t>
        </is>
      </c>
      <c r="Q32" t="inlineStr">
        <is>
          <t>1994</t>
        </is>
      </c>
      <c r="R32" t="inlineStr">
        <is>
          <t>Medium</t>
        </is>
      </c>
      <c r="S32" t="inlineStr">
        <is>
          <t>2026-04-24 21:12:38 ICT</t>
        </is>
      </c>
      <c r="T32" t="inlineStr">
        <is>
          <t>Nguồn nói nhóm Allium tại Trung Quốc, không xác nhận riêng tỏi tây/Allium porrum và không có lịch mùa vụ nhập khẩu.</t>
        </is>
      </c>
    </row>
    <row r="33">
      <c r="A33" t="inlineStr">
        <is>
          <t>B2</t>
        </is>
      </c>
      <c r="B33" t="n">
        <v>121</v>
      </c>
      <c r="C33" t="inlineStr">
        <is>
          <t>khoai mỡ</t>
        </is>
      </c>
      <c r="D33" t="inlineStr">
        <is>
          <t>Rau lá</t>
        </is>
      </c>
      <c r="F33" t="inlineStr">
        <is>
          <t>Province</t>
        </is>
      </c>
      <c r="G33" t="inlineStr">
        <is>
          <t>Vĩnh Long, Việt Nam</t>
        </is>
      </c>
      <c r="H33" t="inlineStr">
        <is>
          <t>Xuống giống sau lúa Đông Xuân; thu sau khoảng 6 tháng</t>
        </is>
      </c>
      <c r="K33" t="inlineStr">
        <is>
          <t>Sau Đông Xuân + 6 tháng</t>
        </is>
      </c>
      <c r="L33" t="inlineStr">
        <is>
          <t>No</t>
        </is>
      </c>
      <c r="M33" t="inlineStr">
        <is>
          <t>Khuyến nông Quốc gia ghi khoai mỡ ở Mang Thít, Vĩnh Long xuống giống khi thu hoạch lúa Đông Xuân và sau 6 tháng trồng thì thu hoạch; có mô hình VietGAP từ Trung tâm Khuyến nông Vĩnh Long.</t>
        </is>
      </c>
      <c r="N33" t="inlineStr">
        <is>
          <t>Vĩnh Long: Tuân thủ kỹ thuật canh tác - Cánh đồng khoai mỡ ngày càng mở rộng</t>
        </is>
      </c>
      <c r="O33" t="inlineStr">
        <is>
          <t>Trung tâm Khuyến nông Quốc gia</t>
        </is>
      </c>
      <c r="P33" t="inlineStr">
        <is>
          <t>https://khuyennongvn.gov.vn/chuong-trinh-nganh-nong-nghiep/tai-co-cau-nganh-nong-nghiep/vinh-long-tuan-thu-ky-thuat-canh-tac--canh-dong-khoai-mo-ngay-cang-mo-rong-19139.html</t>
        </is>
      </c>
      <c r="Q33" t="inlineStr">
        <is>
          <t>2019-08-22</t>
        </is>
      </c>
      <c r="R33" t="inlineStr">
        <is>
          <t>High</t>
        </is>
      </c>
      <c r="S33" t="inlineStr">
        <is>
          <t>2026-04-24 21:12:38 ICT</t>
        </is>
      </c>
      <c r="T33" t="inlineStr">
        <is>
          <t>Dòng catalog thiếu ProductInfo; nguồn không xác nhận origin/standard hiện hành của sản phẩm trong hệ thống.</t>
        </is>
      </c>
    </row>
    <row r="34">
      <c r="A34" t="inlineStr">
        <is>
          <t>B2</t>
        </is>
      </c>
      <c r="B34" t="n">
        <v>122</v>
      </c>
      <c r="C34" t="inlineStr">
        <is>
          <t>Rau muống</t>
        </is>
      </c>
      <c r="D34" t="inlineStr">
        <is>
          <t>Rau lá</t>
        </is>
      </c>
      <c r="F34" t="inlineStr">
        <is>
          <t>Country</t>
        </is>
      </c>
      <c r="G34" t="inlineStr">
        <is>
          <t>Việt Nam</t>
        </is>
      </c>
      <c r="H34" t="inlineStr">
        <is>
          <t>Có thể sản xuất trong hệ thống thủy canh tuần hoàn; thu hái nhiều lứa</t>
        </is>
      </c>
      <c r="K34" t="inlineStr">
        <is>
          <t>Sau mỗi đợt thu hái bổ sung dinh dưỡng cho lứa sau</t>
        </is>
      </c>
      <c r="L34" t="inlineStr">
        <is>
          <t>No</t>
        </is>
      </c>
      <c r="M34" t="inlineStr">
        <is>
          <t>Khuyến nông Quốc gia ghi rau muống là một trong các giống có thể sản xuất thủy canh tuần hoàn; sau khi hái lứa đầu mới bổ sung dinh dưỡng cho lứa sau.</t>
        </is>
      </c>
      <c r="N34" t="inlineStr">
        <is>
          <t>Quy trình kỹ thuật sản xuất rau thủy canh tuần hoàn</t>
        </is>
      </c>
      <c r="O34" t="inlineStr">
        <is>
          <t>Trung tâm Khuyến nông Quốc gia</t>
        </is>
      </c>
      <c r="P34" t="inlineStr">
        <is>
          <t>https://khuyennongvn.gov.vn/ky-thuat-trong-trot/quy-trinh-ky-thuat-san-xuat-rau-thuy-canh-tuan-hoan-759.html</t>
        </is>
      </c>
      <c r="Q34" t="inlineStr">
        <is>
          <t>2011-12-26</t>
        </is>
      </c>
      <c r="R34" t="inlineStr">
        <is>
          <t>High</t>
        </is>
      </c>
      <c r="S34" t="inlineStr">
        <is>
          <t>2026-04-24 21:12:38 ICT</t>
        </is>
      </c>
      <c r="T34" t="inlineStr">
        <is>
          <t>Dòng catalog thiếu ProductInfo; nguồn là quy trình kỹ thuật thủy canh chung, chưa xác nhận origin/standard hiện hành.</t>
        </is>
      </c>
    </row>
  </sheetData>
  <autoFilter ref="A1: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7"/>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3" customWidth="1" min="3" max="3"/>
    <col width="24" customWidth="1" min="4" max="4"/>
    <col width="44" customWidth="1" min="5" max="5"/>
    <col width="43" customWidth="1" min="6" max="6"/>
    <col width="44" customWidth="1" min="7" max="7"/>
    <col width="44" customWidth="1" min="8" max="8"/>
    <col width="44" customWidth="1" min="9" max="9"/>
    <col width="13" customWidth="1" min="10" max="10"/>
    <col width="13" customWidth="1" min="11" max="11"/>
    <col width="25" customWidth="1" min="12" max="12"/>
    <col width="44" customWidth="1" min="13" max="13"/>
    <col width="16" customWidth="1" min="14" max="14"/>
  </cols>
  <sheetData>
    <row r="1">
      <c r="A1" s="16" t="inlineStr">
        <is>
          <t>Batch</t>
        </is>
      </c>
      <c r="B1" s="8" t="inlineStr">
        <is>
          <t>ProductID</t>
        </is>
      </c>
      <c r="C1" s="8" t="inlineStr">
        <is>
          <t>ProductName</t>
        </is>
      </c>
      <c r="D1" s="8" t="inlineStr">
        <is>
          <t>Field Name</t>
        </is>
      </c>
      <c r="E1" s="8" t="inlineStr">
        <is>
          <t>Verified Value / Claim</t>
        </is>
      </c>
      <c r="F1" s="8" t="inlineStr">
        <is>
          <t>Applicability / Locality</t>
        </is>
      </c>
      <c r="G1" s="8" t="inlineStr">
        <is>
          <t>Source Title</t>
        </is>
      </c>
      <c r="H1" s="8" t="inlineStr">
        <is>
          <t>Source Publisher</t>
        </is>
      </c>
      <c r="I1" s="8" t="inlineStr">
        <is>
          <t>Source URL</t>
        </is>
      </c>
      <c r="J1" s="8" t="inlineStr">
        <is>
          <t>Source Date</t>
        </is>
      </c>
      <c r="K1" s="8" t="inlineStr">
        <is>
          <t>Trust Level</t>
        </is>
      </c>
      <c r="L1" s="8" t="inlineStr">
        <is>
          <t>Thời gian thu thập</t>
        </is>
      </c>
      <c r="M1" s="8" t="inlineStr">
        <is>
          <t>Tôi chưa chắc chắn</t>
        </is>
      </c>
      <c r="N1" s="8" t="inlineStr">
        <is>
          <t>Reviewer Notes</t>
        </is>
      </c>
    </row>
    <row r="2">
      <c r="A2" t="inlineStr">
        <is>
          <t>B1</t>
        </is>
      </c>
      <c r="B2" t="n">
        <v>61</v>
      </c>
      <c r="C2" t="inlineStr">
        <is>
          <t>Táo Fuji Nhật</t>
        </is>
      </c>
      <c r="D2" t="inlineStr">
        <is>
          <t>Origin country</t>
        </is>
      </c>
      <c r="E2" t="inlineStr">
        <is>
          <t>Japan</t>
        </is>
      </c>
      <c r="F2" t="inlineStr">
        <is>
          <t>Product origin</t>
        </is>
      </c>
      <c r="G2" t="inlineStr">
        <is>
          <t>Fruit and Vegetables: Apples</t>
        </is>
      </c>
      <c r="H2" t="inlineStr">
        <is>
          <t>Japan Food Export Fair / Aomori Apple Council</t>
        </is>
      </c>
      <c r="I2" t="inlineStr">
        <is>
          <t>https://j-fec.com/en/producer/pdf/en/20/</t>
        </is>
      </c>
      <c r="J2" t="inlineStr">
        <is>
          <t>2022</t>
        </is>
      </c>
      <c r="K2" t="inlineStr">
        <is>
          <t>High</t>
        </is>
      </c>
      <c r="L2" t="inlineStr">
        <is>
          <t>2026-04-24 14:43:30 ICT</t>
        </is>
      </c>
    </row>
    <row r="3">
      <c r="A3" t="inlineStr">
        <is>
          <t>B1</t>
        </is>
      </c>
      <c r="B3" t="n">
        <v>61</v>
      </c>
      <c r="C3" t="inlineStr">
        <is>
          <t>Táo Fuji Nhật</t>
        </is>
      </c>
      <c r="D3" t="inlineStr">
        <is>
          <t>Origin province/region</t>
        </is>
      </c>
      <c r="E3" t="inlineStr">
        <is>
          <t>Aomori Prefecture</t>
        </is>
      </c>
      <c r="F3" t="inlineStr">
        <is>
          <t>Product origin</t>
        </is>
      </c>
      <c r="G3" t="inlineStr">
        <is>
          <t>Fruit and Vegetables: Apples</t>
        </is>
      </c>
      <c r="H3" t="inlineStr">
        <is>
          <t>Japan Food Export Fair / Aomori Apple Council</t>
        </is>
      </c>
      <c r="I3" t="inlineStr">
        <is>
          <t>https://j-fec.com/en/producer/pdf/en/20/</t>
        </is>
      </c>
      <c r="J3" t="inlineStr">
        <is>
          <t>2022</t>
        </is>
      </c>
      <c r="K3" t="inlineStr">
        <is>
          <t>High</t>
        </is>
      </c>
      <c r="L3" t="inlineStr">
        <is>
          <t>2026-04-24 14:43:30 ICT</t>
        </is>
      </c>
    </row>
    <row r="4">
      <c r="A4" t="inlineStr">
        <is>
          <t>B1</t>
        </is>
      </c>
      <c r="B4" t="n">
        <v>61</v>
      </c>
      <c r="C4" t="inlineStr">
        <is>
          <t>Táo Fuji Nhật</t>
        </is>
      </c>
      <c r="D4" t="inlineStr">
        <is>
          <t>Flavor / texture</t>
        </is>
      </c>
      <c r="E4" t="inlineStr">
        <is>
          <t>Juicy flesh; fragrant, sweet profile; vivid red skin</t>
        </is>
      </c>
      <c r="F4" t="inlineStr">
        <is>
          <t>Commodity description</t>
        </is>
      </c>
      <c r="G4" t="inlineStr">
        <is>
          <t>Fruit and Vegetables: Apples</t>
        </is>
      </c>
      <c r="H4" t="inlineStr">
        <is>
          <t>Japan Food Export Fair / Aomori Apple Council</t>
        </is>
      </c>
      <c r="I4" t="inlineStr">
        <is>
          <t>https://j-fec.com/en/producer/pdf/en/20/</t>
        </is>
      </c>
      <c r="J4" t="inlineStr">
        <is>
          <t>2022</t>
        </is>
      </c>
      <c r="K4" t="inlineStr">
        <is>
          <t>High</t>
        </is>
      </c>
      <c r="L4" t="inlineStr">
        <is>
          <t>2026-04-24 14:43:30 ICT</t>
        </is>
      </c>
    </row>
    <row r="5">
      <c r="A5" t="inlineStr">
        <is>
          <t>B1</t>
        </is>
      </c>
      <c r="B5" t="n">
        <v>61</v>
      </c>
      <c r="C5" t="inlineStr">
        <is>
          <t>Táo Fuji Nhật</t>
        </is>
      </c>
      <c r="D5" t="inlineStr">
        <is>
          <t>Preservation guidance</t>
        </is>
      </c>
      <c r="E5" t="inlineStr">
        <is>
          <t>Strict temperature control and storage allow quality to remain strong beyond New Year.</t>
        </is>
      </c>
      <c r="F5" t="inlineStr">
        <is>
          <t>Commodity handling</t>
        </is>
      </c>
      <c r="G5" t="inlineStr">
        <is>
          <t>Fruit and Vegetables: Apples</t>
        </is>
      </c>
      <c r="H5" t="inlineStr">
        <is>
          <t>Japan Food Export Fair / Aomori Apple Council</t>
        </is>
      </c>
      <c r="I5" t="inlineStr">
        <is>
          <t>https://j-fec.com/en/producer/pdf/en/20/</t>
        </is>
      </c>
      <c r="J5" t="inlineStr">
        <is>
          <t>2022</t>
        </is>
      </c>
      <c r="K5" t="inlineStr">
        <is>
          <t>High</t>
        </is>
      </c>
      <c r="L5" t="inlineStr">
        <is>
          <t>2026-04-24 14:43:30 ICT</t>
        </is>
      </c>
    </row>
    <row r="6">
      <c r="A6" t="inlineStr">
        <is>
          <t>B1</t>
        </is>
      </c>
      <c r="B6" t="n">
        <v>62</v>
      </c>
      <c r="C6" t="inlineStr">
        <is>
          <t>Cam Cara ruột đỏ</t>
        </is>
      </c>
      <c r="D6" t="inlineStr">
        <is>
          <t>Origin country</t>
        </is>
      </c>
      <c r="E6" t="inlineStr">
        <is>
          <t>Australia</t>
        </is>
      </c>
      <c r="F6" t="inlineStr">
        <is>
          <t>Product origin</t>
        </is>
      </c>
      <c r="G6" t="inlineStr">
        <is>
          <t>What's in Season</t>
        </is>
      </c>
      <c r="H6" t="inlineStr">
        <is>
          <t>Citrus Australia</t>
        </is>
      </c>
      <c r="I6" t="inlineStr">
        <is>
          <t>https://citrusaustralia.com.au/buying-australian/season/</t>
        </is>
      </c>
      <c r="K6" t="inlineStr">
        <is>
          <t>High</t>
        </is>
      </c>
      <c r="L6" t="inlineStr">
        <is>
          <t>2026-04-24 14:43:30 ICT</t>
        </is>
      </c>
    </row>
    <row r="7">
      <c r="A7" t="inlineStr">
        <is>
          <t>B1</t>
        </is>
      </c>
      <c r="B7" t="n">
        <v>62</v>
      </c>
      <c r="C7" t="inlineStr">
        <is>
          <t>Cam Cara ruột đỏ</t>
        </is>
      </c>
      <c r="D7" t="inlineStr">
        <is>
          <t>Origin regions</t>
        </is>
      </c>
      <c r="E7" t="inlineStr">
        <is>
          <t>Murray Valley, Riverina NSW, Riverland SA</t>
        </is>
      </c>
      <c r="F7" t="inlineStr">
        <is>
          <t>Australian citrus regions</t>
        </is>
      </c>
      <c r="G7" t="inlineStr">
        <is>
          <t>What's in Season</t>
        </is>
      </c>
      <c r="H7" t="inlineStr">
        <is>
          <t>Citrus Australia</t>
        </is>
      </c>
      <c r="I7" t="inlineStr">
        <is>
          <t>https://citrusaustralia.com.au/buying-australian/season/</t>
        </is>
      </c>
      <c r="K7" t="inlineStr">
        <is>
          <t>High</t>
        </is>
      </c>
      <c r="L7" t="inlineStr">
        <is>
          <t>2026-04-24 14:43:30 ICT</t>
        </is>
      </c>
    </row>
    <row r="8">
      <c r="A8" t="inlineStr">
        <is>
          <t>B1</t>
        </is>
      </c>
      <c r="B8" t="n">
        <v>62</v>
      </c>
      <c r="C8" t="inlineStr">
        <is>
          <t>Cam Cara ruột đỏ</t>
        </is>
      </c>
      <c r="D8" t="inlineStr">
        <is>
          <t>Variety note</t>
        </is>
      </c>
      <c r="E8" t="inlineStr">
        <is>
          <t>Cara Cara is an early-to-mid-season navel orange with sweet, red flesh and low/absent seeds.</t>
        </is>
      </c>
      <c r="F8" t="inlineStr">
        <is>
          <t>Variety description</t>
        </is>
      </c>
      <c r="G8" t="inlineStr">
        <is>
          <t>Citrus Traceability Pilot</t>
        </is>
      </c>
      <c r="H8" t="inlineStr">
        <is>
          <t>Agriculture Victoria</t>
        </is>
      </c>
      <c r="I8" t="inlineStr">
        <is>
          <t>https://agriculture.vic.gov.au/__data/assets/pdf_file/0010/629902/Citrus-Traceability-Pilot.pdf</t>
        </is>
      </c>
      <c r="K8" t="inlineStr">
        <is>
          <t>High</t>
        </is>
      </c>
      <c r="L8" t="inlineStr">
        <is>
          <t>2026-04-24 14:43:30 ICT</t>
        </is>
      </c>
    </row>
    <row r="9">
      <c r="A9" t="inlineStr">
        <is>
          <t>B1</t>
        </is>
      </c>
      <c r="B9" t="n">
        <v>63</v>
      </c>
      <c r="C9" t="inlineStr">
        <is>
          <t>Nho Mỹ không hạt</t>
        </is>
      </c>
      <c r="D9" t="inlineStr">
        <is>
          <t>Origin country</t>
        </is>
      </c>
      <c r="E9" t="inlineStr">
        <is>
          <t>United States</t>
        </is>
      </c>
      <c r="F9" t="inlineStr">
        <is>
          <t>Product origin</t>
        </is>
      </c>
      <c r="G9" t="inlineStr">
        <is>
          <t>Grapes From California Merchandising and Training Guide</t>
        </is>
      </c>
      <c r="H9" t="inlineStr">
        <is>
          <t>California Table Grape Commission</t>
        </is>
      </c>
      <c r="I9" t="inlineStr">
        <is>
          <t>https://www.grapesfromcalifornia.com/wp-content/uploads/2023/06/20230605-grapes-from-california-merchandising-and-training-guide-2023.pdf</t>
        </is>
      </c>
      <c r="J9" t="inlineStr">
        <is>
          <t>2023-06-05</t>
        </is>
      </c>
      <c r="K9" t="inlineStr">
        <is>
          <t>High</t>
        </is>
      </c>
      <c r="L9" t="inlineStr">
        <is>
          <t>2026-04-24 14:43:30 ICT</t>
        </is>
      </c>
    </row>
    <row r="10">
      <c r="A10" t="inlineStr">
        <is>
          <t>B1</t>
        </is>
      </c>
      <c r="B10" t="n">
        <v>63</v>
      </c>
      <c r="C10" t="inlineStr">
        <is>
          <t>Nho Mỹ không hạt</t>
        </is>
      </c>
      <c r="D10" t="inlineStr">
        <is>
          <t>Origin province/region</t>
        </is>
      </c>
      <c r="E10" t="inlineStr">
        <is>
          <t>California - Coachella Valley, San Joaquin Valley</t>
        </is>
      </c>
      <c r="F10" t="inlineStr">
        <is>
          <t>Commodity production areas</t>
        </is>
      </c>
      <c r="G10" t="inlineStr">
        <is>
          <t>Grapes From California Merchandising and Training Guide</t>
        </is>
      </c>
      <c r="H10" t="inlineStr">
        <is>
          <t>California Table Grape Commission</t>
        </is>
      </c>
      <c r="I10" t="inlineStr">
        <is>
          <t>https://www.grapesfromcalifornia.com/wp-content/uploads/2023/06/20230605-grapes-from-california-merchandising-and-training-guide-2023.pdf</t>
        </is>
      </c>
      <c r="J10" t="inlineStr">
        <is>
          <t>2023-06-05</t>
        </is>
      </c>
      <c r="K10" t="inlineStr">
        <is>
          <t>High</t>
        </is>
      </c>
      <c r="L10" t="inlineStr">
        <is>
          <t>2026-04-24 14:43:30 ICT</t>
        </is>
      </c>
    </row>
    <row r="11">
      <c r="A11" t="inlineStr">
        <is>
          <t>B1</t>
        </is>
      </c>
      <c r="B11" t="n">
        <v>71</v>
      </c>
      <c r="C11" t="inlineStr">
        <is>
          <t>Măng cụt</t>
        </is>
      </c>
      <c r="D11" t="inlineStr">
        <is>
          <t>Origin country</t>
        </is>
      </c>
      <c r="E11" t="inlineStr">
        <is>
          <t>Thailand</t>
        </is>
      </c>
      <c r="F11" t="inlineStr">
        <is>
          <t>Product origin</t>
        </is>
      </c>
      <c r="G11" t="inlineStr">
        <is>
          <t>Mangosteen</t>
        </is>
      </c>
      <c r="H11" t="inlineStr">
        <is>
          <t>Department of Agricultural Extension, Thailand</t>
        </is>
      </c>
      <c r="I11" t="inlineStr">
        <is>
          <t>https://www.doae.go.th/en/mangosteen-2/</t>
        </is>
      </c>
      <c r="K11" t="inlineStr">
        <is>
          <t>High</t>
        </is>
      </c>
      <c r="L11" t="inlineStr">
        <is>
          <t>2026-04-24 14:43:30 ICT</t>
        </is>
      </c>
    </row>
    <row r="12">
      <c r="A12" t="inlineStr">
        <is>
          <t>B1</t>
        </is>
      </c>
      <c r="B12" t="n">
        <v>71</v>
      </c>
      <c r="C12" t="inlineStr">
        <is>
          <t>Măng cụt</t>
        </is>
      </c>
      <c r="D12" t="inlineStr">
        <is>
          <t>Flavor / texture</t>
        </is>
      </c>
      <c r="E12" t="inlineStr">
        <is>
          <t>Sweet and juicy flesh with mild fragrance.</t>
        </is>
      </c>
      <c r="F12" t="inlineStr">
        <is>
          <t>Commodity description</t>
        </is>
      </c>
      <c r="G12" t="inlineStr">
        <is>
          <t>Mangosteen</t>
        </is>
      </c>
      <c r="H12" t="inlineStr">
        <is>
          <t>Department of Agricultural Extension, Thailand</t>
        </is>
      </c>
      <c r="I12" t="inlineStr">
        <is>
          <t>https://www.doae.go.th/en/mangosteen-2/</t>
        </is>
      </c>
      <c r="K12" t="inlineStr">
        <is>
          <t>High</t>
        </is>
      </c>
      <c r="L12" t="inlineStr">
        <is>
          <t>2026-04-24 14:43:30 ICT</t>
        </is>
      </c>
    </row>
    <row r="13">
      <c r="A13" t="inlineStr">
        <is>
          <t>B1</t>
        </is>
      </c>
      <c r="B13" t="n">
        <v>71</v>
      </c>
      <c r="C13" t="inlineStr">
        <is>
          <t>Măng cụt</t>
        </is>
      </c>
      <c r="D13" t="inlineStr">
        <is>
          <t>Preservation guidance</t>
        </is>
      </c>
      <c r="E13" t="inlineStr">
        <is>
          <t>3-4 weeks at 13°C and 90-95% RH.</t>
        </is>
      </c>
      <c r="F13" t="inlineStr">
        <is>
          <t>Commodity handling</t>
        </is>
      </c>
      <c r="G13" t="inlineStr">
        <is>
          <t>Mangosteen</t>
        </is>
      </c>
      <c r="H13" t="inlineStr">
        <is>
          <t>Department of Agricultural Extension, Thailand</t>
        </is>
      </c>
      <c r="I13" t="inlineStr">
        <is>
          <t>https://www.doae.go.th/en/mangosteen-2/</t>
        </is>
      </c>
      <c r="K13" t="inlineStr">
        <is>
          <t>High</t>
        </is>
      </c>
      <c r="L13" t="inlineStr">
        <is>
          <t>2026-04-24 14:43:30 ICT</t>
        </is>
      </c>
    </row>
    <row r="14">
      <c r="A14" t="inlineStr">
        <is>
          <t>B1</t>
        </is>
      </c>
      <c r="B14" t="n">
        <v>73</v>
      </c>
      <c r="C14" t="inlineStr">
        <is>
          <t>Lựu đỏ Mỹ</t>
        </is>
      </c>
      <c r="D14" t="inlineStr">
        <is>
          <t>Origin country</t>
        </is>
      </c>
      <c r="E14" t="inlineStr">
        <is>
          <t>United States</t>
        </is>
      </c>
      <c r="F14" t="inlineStr">
        <is>
          <t>Product origin</t>
        </is>
      </c>
      <c r="G14" t="inlineStr">
        <is>
          <t>Why California</t>
        </is>
      </c>
      <c r="H14" t="inlineStr">
        <is>
          <t>POM Wonderful / California Pomegranate Council</t>
        </is>
      </c>
      <c r="I14" t="inlineStr">
        <is>
          <t>https://pomegranates.org/about/why-california/</t>
        </is>
      </c>
      <c r="K14" t="inlineStr">
        <is>
          <t>High</t>
        </is>
      </c>
      <c r="L14" t="inlineStr">
        <is>
          <t>2026-04-24 14:43:30 ICT</t>
        </is>
      </c>
    </row>
    <row r="15">
      <c r="A15" t="inlineStr">
        <is>
          <t>B1</t>
        </is>
      </c>
      <c r="B15" t="n">
        <v>73</v>
      </c>
      <c r="C15" t="inlineStr">
        <is>
          <t>Lựu đỏ Mỹ</t>
        </is>
      </c>
      <c r="D15" t="inlineStr">
        <is>
          <t>Origin province/region</t>
        </is>
      </c>
      <c r="E15" t="inlineStr">
        <is>
          <t>California - San Joaquin Valley</t>
        </is>
      </c>
      <c r="F15" t="inlineStr">
        <is>
          <t>Commodity production area</t>
        </is>
      </c>
      <c r="G15" t="inlineStr">
        <is>
          <t>Why California</t>
        </is>
      </c>
      <c r="H15" t="inlineStr">
        <is>
          <t>POM Wonderful / California Pomegranate Council</t>
        </is>
      </c>
      <c r="I15" t="inlineStr">
        <is>
          <t>https://pomegranates.org/about/why-california/</t>
        </is>
      </c>
      <c r="K15" t="inlineStr">
        <is>
          <t>High</t>
        </is>
      </c>
      <c r="L15" t="inlineStr">
        <is>
          <t>2026-04-24 14:43:30 ICT</t>
        </is>
      </c>
    </row>
    <row r="16">
      <c r="A16" t="inlineStr">
        <is>
          <t>B1</t>
        </is>
      </c>
      <c r="B16" t="n">
        <v>74</v>
      </c>
      <c r="C16" t="inlineStr">
        <is>
          <t>Dưa lưới Nhật</t>
        </is>
      </c>
      <c r="D16" t="inlineStr">
        <is>
          <t>Origin country</t>
        </is>
      </c>
      <c r="E16" t="inlineStr">
        <is>
          <t>Japan</t>
        </is>
      </c>
      <c r="F16" t="inlineStr">
        <is>
          <t>Product origin</t>
        </is>
      </c>
      <c r="G16" t="inlineStr">
        <is>
          <t>Melons</t>
        </is>
      </c>
      <c r="H16" t="inlineStr">
        <is>
          <t>Ibaraki Prefecture</t>
        </is>
      </c>
      <c r="I16" t="inlineStr">
        <is>
          <t>https://exports.pref.ibaraki.jp/en/product/detail?id=714713</t>
        </is>
      </c>
      <c r="K16" t="inlineStr">
        <is>
          <t>High</t>
        </is>
      </c>
      <c r="L16" t="inlineStr">
        <is>
          <t>2026-04-24 14:43:30 ICT</t>
        </is>
      </c>
    </row>
    <row r="17">
      <c r="A17" t="inlineStr">
        <is>
          <t>B1</t>
        </is>
      </c>
      <c r="B17" t="n">
        <v>74</v>
      </c>
      <c r="C17" t="inlineStr">
        <is>
          <t>Dưa lưới Nhật</t>
        </is>
      </c>
      <c r="D17" t="inlineStr">
        <is>
          <t>Origin province/region</t>
        </is>
      </c>
      <c r="E17" t="inlineStr">
        <is>
          <t>Ibaraki / Shizuoka</t>
        </is>
      </c>
      <c r="F17" t="inlineStr">
        <is>
          <t>Verified localities from official sources</t>
        </is>
      </c>
      <c r="G17" t="inlineStr">
        <is>
          <t>Aroma Melon</t>
        </is>
      </c>
      <c r="H17" t="inlineStr">
        <is>
          <t>Shizuoka Prefecture Food Information Center</t>
        </is>
      </c>
      <c r="I17" t="inlineStr">
        <is>
          <t>https://fujinokuni.shokunomiyako-shizuoka.pref.shizuoka.jp/en/buy-food/1884</t>
        </is>
      </c>
      <c r="K17" t="inlineStr">
        <is>
          <t>High</t>
        </is>
      </c>
      <c r="L17" t="inlineStr">
        <is>
          <t>2026-04-24 14:43:30 ICT</t>
        </is>
      </c>
      <c r="M17" t="inlineStr">
        <is>
          <t>Catalog origin remains generic Japan.</t>
        </is>
      </c>
    </row>
    <row r="18">
      <c r="A18" t="inlineStr">
        <is>
          <t>B1</t>
        </is>
      </c>
      <c r="B18" t="n">
        <v>74</v>
      </c>
      <c r="C18" t="inlineStr">
        <is>
          <t>Dưa lưới Nhật</t>
        </is>
      </c>
      <c r="D18" t="inlineStr">
        <is>
          <t>Flavor / texture</t>
        </is>
      </c>
      <c r="E18" t="inlineStr">
        <is>
          <t>Rich aroma, sweetness and soft texture.</t>
        </is>
      </c>
      <c r="F18" t="inlineStr">
        <is>
          <t>Commodity description</t>
        </is>
      </c>
      <c r="G18" t="inlineStr">
        <is>
          <t>Aroma Melon</t>
        </is>
      </c>
      <c r="H18" t="inlineStr">
        <is>
          <t>Shizuoka Prefecture Food Information Center</t>
        </is>
      </c>
      <c r="I18" t="inlineStr">
        <is>
          <t>https://fujinokuni.shokunomiyako-shizuoka.pref.shizuoka.jp/en/buy-food/1884</t>
        </is>
      </c>
      <c r="K18" t="inlineStr">
        <is>
          <t>High</t>
        </is>
      </c>
      <c r="L18" t="inlineStr">
        <is>
          <t>2026-04-24 14:43:30 ICT</t>
        </is>
      </c>
    </row>
    <row r="19">
      <c r="A19" t="inlineStr">
        <is>
          <t>B1</t>
        </is>
      </c>
      <c r="B19" t="n">
        <v>74</v>
      </c>
      <c r="C19" t="inlineStr">
        <is>
          <t>Dưa lưới Nhật</t>
        </is>
      </c>
      <c r="D19" t="inlineStr">
        <is>
          <t>Preservation guidance</t>
        </is>
      </c>
      <c r="E19" t="inlineStr">
        <is>
          <t>Keep refrigerated.</t>
        </is>
      </c>
      <c r="F19" t="inlineStr">
        <is>
          <t>Commodity handling</t>
        </is>
      </c>
      <c r="G19" t="inlineStr">
        <is>
          <t>Melons</t>
        </is>
      </c>
      <c r="H19" t="inlineStr">
        <is>
          <t>Ibaraki Prefecture</t>
        </is>
      </c>
      <c r="I19" t="inlineStr">
        <is>
          <t>https://exports.pref.ibaraki.jp/en/product/detail?id=714713</t>
        </is>
      </c>
      <c r="K19" t="inlineStr">
        <is>
          <t>High</t>
        </is>
      </c>
      <c r="L19" t="inlineStr">
        <is>
          <t>2026-04-24 14:43:30 ICT</t>
        </is>
      </c>
    </row>
    <row r="20">
      <c r="A20" t="inlineStr">
        <is>
          <t>B1</t>
        </is>
      </c>
      <c r="B20" t="n">
        <v>75</v>
      </c>
      <c r="C20" t="inlineStr">
        <is>
          <t>Mận đỏ Mỹ</t>
        </is>
      </c>
      <c r="D20" t="inlineStr">
        <is>
          <t>Origin country</t>
        </is>
      </c>
      <c r="E20" t="inlineStr">
        <is>
          <t>United States</t>
        </is>
      </c>
      <c r="F20" t="inlineStr">
        <is>
          <t>Product origin</t>
        </is>
      </c>
      <c r="G20" t="inlineStr">
        <is>
          <t>Plums</t>
        </is>
      </c>
      <c r="H20" t="inlineStr">
        <is>
          <t>California Department of Education</t>
        </is>
      </c>
      <c r="I20" t="inlineStr">
        <is>
          <t>https://www.cde.ca.gov/ls/nu/fd/plum.asp</t>
        </is>
      </c>
      <c r="K20" t="inlineStr">
        <is>
          <t>High</t>
        </is>
      </c>
      <c r="L20" t="inlineStr">
        <is>
          <t>2026-04-24 14:43:30 ICT</t>
        </is>
      </c>
    </row>
    <row r="21">
      <c r="A21" t="inlineStr">
        <is>
          <t>B1</t>
        </is>
      </c>
      <c r="B21" t="n">
        <v>75</v>
      </c>
      <c r="C21" t="inlineStr">
        <is>
          <t>Mận đỏ Mỹ</t>
        </is>
      </c>
      <c r="D21" t="inlineStr">
        <is>
          <t>Origin province/region</t>
        </is>
      </c>
      <c r="E21" t="inlineStr">
        <is>
          <t>California</t>
        </is>
      </c>
      <c r="F21" t="inlineStr">
        <is>
          <t>Commodity production area</t>
        </is>
      </c>
      <c r="G21" t="inlineStr">
        <is>
          <t>Plums</t>
        </is>
      </c>
      <c r="H21" t="inlineStr">
        <is>
          <t>California Department of Education</t>
        </is>
      </c>
      <c r="I21" t="inlineStr">
        <is>
          <t>https://www.cde.ca.gov/ls/nu/fd/plum.asp</t>
        </is>
      </c>
      <c r="K21" t="inlineStr">
        <is>
          <t>High</t>
        </is>
      </c>
      <c r="L21" t="inlineStr">
        <is>
          <t>2026-04-24 14:43:30 ICT</t>
        </is>
      </c>
    </row>
    <row r="22">
      <c r="A22" t="inlineStr">
        <is>
          <t>B1</t>
        </is>
      </c>
      <c r="B22" t="n">
        <v>76</v>
      </c>
      <c r="C22" t="inlineStr">
        <is>
          <t>Lê Nam Phi</t>
        </is>
      </c>
      <c r="D22" t="inlineStr">
        <is>
          <t>Origin country</t>
        </is>
      </c>
      <c r="E22" t="inlineStr">
        <is>
          <t>South Africa</t>
        </is>
      </c>
      <c r="F22" t="inlineStr">
        <is>
          <t>Product origin</t>
        </is>
      </c>
      <c r="G22" t="inlineStr">
        <is>
          <t>Pome Fruit Industry Estimates 2025 Season</t>
        </is>
      </c>
      <c r="H22" t="inlineStr">
        <is>
          <t>Hortgro</t>
        </is>
      </c>
      <c r="I22" t="inlineStr">
        <is>
          <t>https://www.hortgro.co.za/wp-content/uploads/docs/dlm_uploads/2025/01/Pome-fruit-industry-estimates_2025-SEASON_FINAL.pdf</t>
        </is>
      </c>
      <c r="J22" t="inlineStr">
        <is>
          <t>2025-01</t>
        </is>
      </c>
      <c r="K22" t="inlineStr">
        <is>
          <t>High</t>
        </is>
      </c>
      <c r="L22" t="inlineStr">
        <is>
          <t>2026-04-24 14:43:30 ICT</t>
        </is>
      </c>
    </row>
    <row r="23">
      <c r="A23" t="inlineStr">
        <is>
          <t>B1</t>
        </is>
      </c>
      <c r="B23" t="n">
        <v>76</v>
      </c>
      <c r="C23" t="inlineStr">
        <is>
          <t>Lê Nam Phi</t>
        </is>
      </c>
      <c r="D23" t="inlineStr">
        <is>
          <t>Origin province/region</t>
        </is>
      </c>
      <c r="E23" t="inlineStr">
        <is>
          <t>Western Cape - Ceres, Groenland, Wolseley/Tulbagh</t>
        </is>
      </c>
      <c r="F23" t="inlineStr">
        <is>
          <t>Main pear producing areas</t>
        </is>
      </c>
      <c r="G23" t="inlineStr">
        <is>
          <t>Pear Market Value Chain Profile 2020</t>
        </is>
      </c>
      <c r="H23" t="inlineStr">
        <is>
          <t>Department of Agriculture, Land Reform and Rural Development (South Africa)</t>
        </is>
      </c>
      <c r="I23" t="inlineStr">
        <is>
          <t>https://www.nda.gov.za/images/Branches/Economica%20Development%20Trade%20and%20Marketing/marketing/annual-publications/fruits/pear-market-value-chain-profile-2020.pdf</t>
        </is>
      </c>
      <c r="J23" t="inlineStr">
        <is>
          <t>2020</t>
        </is>
      </c>
      <c r="K23" t="inlineStr">
        <is>
          <t>High</t>
        </is>
      </c>
      <c r="L23" t="inlineStr">
        <is>
          <t>2026-04-24 14:43:30 ICT</t>
        </is>
      </c>
    </row>
    <row r="24">
      <c r="A24" t="inlineStr">
        <is>
          <t>B1</t>
        </is>
      </c>
      <c r="B24" t="n">
        <v>77</v>
      </c>
      <c r="C24" t="inlineStr">
        <is>
          <t>Kiwi vàng New Zealand</t>
        </is>
      </c>
      <c r="D24" t="inlineStr">
        <is>
          <t>Origin country</t>
        </is>
      </c>
      <c r="E24" t="inlineStr">
        <is>
          <t>New Zealand</t>
        </is>
      </c>
      <c r="F24" t="inlineStr">
        <is>
          <t>Product origin</t>
        </is>
      </c>
      <c r="G24" t="inlineStr">
        <is>
          <t>When is Kiwifruit Season?</t>
        </is>
      </c>
      <c r="H24" t="inlineStr">
        <is>
          <t>Zespri</t>
        </is>
      </c>
      <c r="I24" t="inlineStr">
        <is>
          <t>https://www.zespri.com/en-US/blogdetail/when-is-kiwifruit-season</t>
        </is>
      </c>
      <c r="K24" t="inlineStr">
        <is>
          <t>High</t>
        </is>
      </c>
      <c r="L24" t="inlineStr">
        <is>
          <t>2026-04-24 14:43:30 ICT</t>
        </is>
      </c>
    </row>
    <row r="25">
      <c r="A25" t="inlineStr">
        <is>
          <t>B1</t>
        </is>
      </c>
      <c r="B25" t="n">
        <v>78</v>
      </c>
      <c r="C25" t="inlineStr">
        <is>
          <t>Dứa MD2 Thái Lan</t>
        </is>
      </c>
      <c r="D25" t="inlineStr">
        <is>
          <t>Origin country</t>
        </is>
      </c>
      <c r="E25" t="inlineStr">
        <is>
          <t>Thailand</t>
        </is>
      </c>
      <c r="F25" t="inlineStr">
        <is>
          <t>Product origin</t>
        </is>
      </c>
      <c r="G25" t="inlineStr">
        <is>
          <t>Pineapple</t>
        </is>
      </c>
      <c r="H25" t="inlineStr">
        <is>
          <t>Department of Agricultural Extension, Thailand</t>
        </is>
      </c>
      <c r="I25" t="inlineStr">
        <is>
          <t>https://www.doae.go.th/en/pineapple-2/</t>
        </is>
      </c>
      <c r="K25" t="inlineStr">
        <is>
          <t>High</t>
        </is>
      </c>
      <c r="L25" t="inlineStr">
        <is>
          <t>2026-04-24 14:43:30 ICT</t>
        </is>
      </c>
    </row>
    <row r="26">
      <c r="A26" t="inlineStr">
        <is>
          <t>B1</t>
        </is>
      </c>
      <c r="B26" t="n">
        <v>78</v>
      </c>
      <c r="C26" t="inlineStr">
        <is>
          <t>Dứa MD2 Thái Lan</t>
        </is>
      </c>
      <c r="D26" t="inlineStr">
        <is>
          <t>Variety note</t>
        </is>
      </c>
      <c r="E26" t="inlineStr">
        <is>
          <t>MD2 is one of Thailand's main fresh-export pineapple varieties.</t>
        </is>
      </c>
      <c r="F26" t="inlineStr">
        <is>
          <t>Varietal context</t>
        </is>
      </c>
      <c r="G26" t="inlineStr">
        <is>
          <t>An Economic Study of Fresh Pineapple Production of Pineapple cv. MD2 in Phetchaburi Province</t>
        </is>
      </c>
      <c r="H26" t="inlineStr">
        <is>
          <t>Department of Agriculture, Thailand</t>
        </is>
      </c>
      <c r="I26" t="inlineStr">
        <is>
          <t>https://info.doa.go.th/research/index.php?act=view_detail&amp;id=4460</t>
        </is>
      </c>
      <c r="J26" t="inlineStr">
        <is>
          <t>2020</t>
        </is>
      </c>
      <c r="K26" t="inlineStr">
        <is>
          <t>Medium</t>
        </is>
      </c>
      <c r="L26" t="inlineStr">
        <is>
          <t>2026-04-24 14:43:30 ICT</t>
        </is>
      </c>
      <c r="M26" t="inlineStr">
        <is>
          <t>Useful to confirm the MD2 variety context, but not a direct national season calendar.</t>
        </is>
      </c>
    </row>
    <row r="27">
      <c r="A27" t="inlineStr">
        <is>
          <t>B1</t>
        </is>
      </c>
      <c r="B27" t="n">
        <v>68</v>
      </c>
      <c r="C27" t="inlineStr">
        <is>
          <t>Chuối già Nam Mỹ</t>
        </is>
      </c>
      <c r="D27" t="inlineStr">
        <is>
          <t>Origin scope</t>
        </is>
      </c>
      <c r="E27" t="inlineStr">
        <is>
          <t>Catalog origin is only South America; exact country/province remains unconfirmed.</t>
        </is>
      </c>
      <c r="F27" t="inlineStr">
        <is>
          <t>Origin verification</t>
        </is>
      </c>
      <c r="G27" t="inlineStr">
        <is>
          <t>The World Banana Economy, 1985-2002</t>
        </is>
      </c>
      <c r="H27" t="inlineStr">
        <is>
          <t>FAO</t>
        </is>
      </c>
      <c r="I27" t="inlineStr">
        <is>
          <t>https://www.fao.org/3/y5102e/y5102e04.htm</t>
        </is>
      </c>
      <c r="K27" t="inlineStr">
        <is>
          <t>High</t>
        </is>
      </c>
      <c r="L27" t="inlineStr">
        <is>
          <t>2026-04-24 14:48:34 ICT</t>
        </is>
      </c>
      <c r="M27" t="inlineStr">
        <is>
          <t>Chưa có nguồn đủ mạnh để chốt quốc gia xuất xứ cho SKU này.</t>
        </is>
      </c>
    </row>
    <row r="28">
      <c r="A28" t="inlineStr">
        <is>
          <t>B1</t>
        </is>
      </c>
      <c r="B28" t="n">
        <v>68</v>
      </c>
      <c r="C28" t="inlineStr">
        <is>
          <t>Chuối già Nam Mỹ</t>
        </is>
      </c>
      <c r="D28" t="inlineStr">
        <is>
          <t>Possible source-country context</t>
        </is>
      </c>
      <c r="E28" t="inlineStr">
        <is>
          <t>If the lot is from Ecuador, the largest production concentrations include Los Ríos, Guayas and El Oro.</t>
        </is>
      </c>
      <c r="F28" t="inlineStr">
        <is>
          <t>Context only - not assigned to this SKU</t>
        </is>
      </c>
      <c r="G28" t="inlineStr">
        <is>
          <t>Boletín situacional de banano 2023</t>
        </is>
      </c>
      <c r="H28" t="inlineStr">
        <is>
          <t>Ministerio de Agricultura y Ganadería del Ecuador</t>
        </is>
      </c>
      <c r="I28" t="inlineStr">
        <is>
          <t>https://sipa.agricultura.gob.ec/boletines/situacionales/2023/boletin_situacional_banano_2023.pdf</t>
        </is>
      </c>
      <c r="J28" t="inlineStr">
        <is>
          <t>2024</t>
        </is>
      </c>
      <c r="K28" t="inlineStr">
        <is>
          <t>High</t>
        </is>
      </c>
      <c r="L28" t="inlineStr">
        <is>
          <t>2026-04-24 14:48:34 ICT</t>
        </is>
      </c>
      <c r="M28" t="inlineStr">
        <is>
          <t>Chỉ dùng làm bối cảnh vùng trồng nếu sau này xác nhận được nguồn hàng là Ecuador.</t>
        </is>
      </c>
    </row>
    <row r="29">
      <c r="A29" t="inlineStr">
        <is>
          <t>B3</t>
        </is>
      </c>
      <c r="B29" t="n">
        <v>64</v>
      </c>
      <c r="C29" t="inlineStr">
        <is>
          <t>Xoài cát Hòa Lộc</t>
        </is>
      </c>
      <c r="D29" t="inlineStr">
        <is>
          <t>Origin province/region</t>
        </is>
      </c>
      <c r="E29" t="inlineStr">
        <is>
          <t>Huyện Cái Bè, tỉnh Tiền Giang; khu vực GI gồm 13 xã.</t>
        </is>
      </c>
      <c r="F29" t="inlineStr">
        <is>
          <t>Origin verification</t>
        </is>
      </c>
      <c r="G29" t="inlineStr">
        <is>
          <t>Bảo hộ chỉ dẫn địa lý “Hòa Lộc” cho sản phẩm xoài cát</t>
        </is>
      </c>
      <c r="H29" t="inlineStr">
        <is>
          <t>Cục Sở hữu trí tuệ</t>
        </is>
      </c>
      <c r="I29" t="inlineStr">
        <is>
          <t>https://www.ipvietnam.gov.vn/web/english/statistic/-/asset_publisher/lkBHulAdnfEF/content/bao-ho-chi-dan-ia-ly-hoa-loc-cho-san-pham-xoai-cat</t>
        </is>
      </c>
      <c r="J29" t="inlineStr">
        <is>
          <t>2009-12-01</t>
        </is>
      </c>
      <c r="K29" t="inlineStr">
        <is>
          <t>High</t>
        </is>
      </c>
      <c r="L29" t="inlineStr">
        <is>
          <t>2026-04-24 14:48:34 ICT</t>
        </is>
      </c>
    </row>
    <row r="30">
      <c r="A30" t="inlineStr">
        <is>
          <t>B3</t>
        </is>
      </c>
      <c r="B30" t="n">
        <v>64</v>
      </c>
      <c r="C30" t="inlineStr">
        <is>
          <t>Xoài cát Hòa Lộc</t>
        </is>
      </c>
      <c r="D30" t="inlineStr">
        <is>
          <t>Standard/certification context</t>
        </is>
      </c>
      <c r="E30" t="inlineStr">
        <is>
          <t>Đã được cấp giấy chứng nhận sản xuất an toàn theo tiêu chuẩn GlobalGAP.</t>
        </is>
      </c>
      <c r="F30" t="inlineStr">
        <is>
          <t>Production/quality context</t>
        </is>
      </c>
      <c r="G30" t="inlineStr">
        <is>
          <t>Xoài cát Hòa Lộc nức lòng giới sành ăn</t>
        </is>
      </c>
      <c r="H30" t="inlineStr">
        <is>
          <t>Bộ Công Thương</t>
        </is>
      </c>
      <c r="I30" t="inlineStr">
        <is>
          <t>https://moit.gov.vn/tu-hao-hang-viet-nam/gioi-thieu-xoai-cat-hoa-loc.html</t>
        </is>
      </c>
      <c r="J30" t="inlineStr">
        <is>
          <t>2022-09-08</t>
        </is>
      </c>
      <c r="K30" t="inlineStr">
        <is>
          <t>High</t>
        </is>
      </c>
      <c r="L30" t="inlineStr">
        <is>
          <t>2026-04-24 14:48:34 ICT</t>
        </is>
      </c>
      <c r="M30" t="inlineStr">
        <is>
          <t>Nguồn nói ở mức vùng sản xuất/xoài cát Hòa Lộc, không khẳng định mọi lô thương mại riêng lẻ đều đang giữ chứng nhận hiệu lực tại thời điểm hiện tại.</t>
        </is>
      </c>
    </row>
    <row r="31">
      <c r="A31" t="inlineStr">
        <is>
          <t>B3</t>
        </is>
      </c>
      <c r="B31" t="n">
        <v>64</v>
      </c>
      <c r="C31" t="inlineStr">
        <is>
          <t>Xoài cát Hòa Lộc</t>
        </is>
      </c>
      <c r="D31" t="inlineStr">
        <is>
          <t>Flavor / texture</t>
        </is>
      </c>
      <c r="E31" t="inlineStr">
        <is>
          <t>Thịt dẻo, mịn, dày, ít xơ, rất ngọt và mùi thơm dịu.</t>
        </is>
      </c>
      <c r="F31" t="inlineStr">
        <is>
          <t>Commodity description</t>
        </is>
      </c>
      <c r="G31" t="inlineStr">
        <is>
          <t>Xoài cát Hòa Lộc nức lòng giới sành ăn</t>
        </is>
      </c>
      <c r="H31" t="inlineStr">
        <is>
          <t>Bộ Công Thương</t>
        </is>
      </c>
      <c r="I31" t="inlineStr">
        <is>
          <t>https://moit.gov.vn/tu-hao-hang-viet-nam/gioi-thieu-xoai-cat-hoa-loc.html</t>
        </is>
      </c>
      <c r="J31" t="inlineStr">
        <is>
          <t>2022-09-08</t>
        </is>
      </c>
      <c r="K31" t="inlineStr">
        <is>
          <t>High</t>
        </is>
      </c>
      <c r="L31" t="inlineStr">
        <is>
          <t>2026-04-24 14:48:34 ICT</t>
        </is>
      </c>
    </row>
    <row r="32">
      <c r="A32" t="inlineStr">
        <is>
          <t>B3</t>
        </is>
      </c>
      <c r="B32" t="n">
        <v>70</v>
      </c>
      <c r="C32" t="inlineStr">
        <is>
          <t>Thanh long ruột đỏ</t>
        </is>
      </c>
      <c r="D32" t="inlineStr">
        <is>
          <t>Origin province/region</t>
        </is>
      </c>
      <c r="E32" t="inlineStr">
        <is>
          <t>Khu vực GI thanh long Bình Thuận gồm Hàm Tân, Hàm Thuận Nam, Hàm Thuận Bắc, Bắc Bình và TP Phan Thiết.</t>
        </is>
      </c>
      <c r="F32" t="inlineStr">
        <is>
          <t>Origin verification</t>
        </is>
      </c>
      <c r="G32" t="inlineStr">
        <is>
          <t>Nhật Bản bảo hộ chỉ dẫn địa lý cho sản phẩm thanh long Bình Thuận</t>
        </is>
      </c>
      <c r="H32" t="inlineStr">
        <is>
          <t>Cục Sở hữu trí tuệ</t>
        </is>
      </c>
      <c r="I32" t="inlineStr">
        <is>
          <t>https://ipvietnam.gov.vn/phat-trien-chi-dan-ia-ly/-/asset_publisher/SGA9PgvmYtWI/content/thanh-long-binh-thuan-duoc-bao-ho-cddl-tai-nhat-ban?inheritRedirect=false</t>
        </is>
      </c>
      <c r="K32" t="inlineStr">
        <is>
          <t>High</t>
        </is>
      </c>
      <c r="L32" t="inlineStr">
        <is>
          <t>2026-04-24 14:48:34 ICT</t>
        </is>
      </c>
      <c r="M32" t="inlineStr">
        <is>
          <t>Nguồn GI đang ở mức quả thanh long Bình Thuận nói chung, chưa tách riêng ruột đỏ.</t>
        </is>
      </c>
    </row>
    <row r="33">
      <c r="A33" t="inlineStr">
        <is>
          <t>B3</t>
        </is>
      </c>
      <c r="B33" t="n">
        <v>65</v>
      </c>
      <c r="C33" t="inlineStr">
        <is>
          <t>Dưa hấu không hạt</t>
        </is>
      </c>
      <c r="D33" t="inlineStr">
        <is>
          <t>Origin/locality context</t>
        </is>
      </c>
      <c r="E33" t="inlineStr">
        <is>
          <t>Long An có vùng dưa hấu Vĩnh Hưng phục vụ thị trường Tết; dưa Long Trì, Tân Trụ là các tên được địa phương ghi nhận.</t>
        </is>
      </c>
      <c r="F33" t="inlineStr">
        <is>
          <t>Long An</t>
        </is>
      </c>
      <c r="G33" t="inlineStr">
        <is>
          <t>Góc ảnh 'Long An quê hương tôi': Dưa hấu Long An</t>
        </is>
      </c>
      <c r="H33" t="inlineStr">
        <is>
          <t>Báo Long An</t>
        </is>
      </c>
      <c r="I33" t="inlineStr">
        <is>
          <t>https://baolongan.vn/goc-anh-long-an-que-huong-toi-dua-hau-long-an-a180898.html</t>
        </is>
      </c>
      <c r="J33" t="inlineStr">
        <is>
          <t>2024-08-16</t>
        </is>
      </c>
      <c r="K33" t="inlineStr">
        <is>
          <t>Medium</t>
        </is>
      </c>
      <c r="L33" t="inlineStr">
        <is>
          <t>2026-04-24 21:05:08 ICT</t>
        </is>
      </c>
      <c r="M33" t="inlineStr">
        <is>
          <t>Báo địa phương uy tín nhưng chưa phải hồ sơ kỹ thuật/cây trồng cấp sở.</t>
        </is>
      </c>
    </row>
    <row r="34">
      <c r="A34" t="inlineStr">
        <is>
          <t>B3</t>
        </is>
      </c>
      <c r="B34" t="n">
        <v>66</v>
      </c>
      <c r="C34" t="inlineStr">
        <is>
          <t>Bơ Booth 7</t>
        </is>
      </c>
      <c r="D34" t="inlineStr">
        <is>
          <t>Origin/production context</t>
        </is>
      </c>
      <c r="E34" t="inlineStr">
        <is>
          <t>Đắk Lắk có các giống bơ phổ biến gồm Booth 7, bơ tứ quý, bơ 034; diện tích cho sản phẩm 7.228 ha năm 2021 theo Sở NN&amp;PTNT được Sở Công Thương dẫn lại.</t>
        </is>
      </c>
      <c r="F34" t="inlineStr">
        <is>
          <t>Đắk Lắk</t>
        </is>
      </c>
      <c r="G34" t="inlineStr">
        <is>
          <t>Bơ Đắk Lắk - Hành trình đến với người tiêu dùng</t>
        </is>
      </c>
      <c r="H34" t="inlineStr">
        <is>
          <t>Sở Công Thương Đắk Lắk</t>
        </is>
      </c>
      <c r="I34" t="inlineStr">
        <is>
          <t>https://socongthuong.daklak.gov.vn/vi/news/hoat-dong-nganh-cong-thuong/bo-dak-lak-hanh-trinh-den-voi-nguoi-tieu-dung-3497.html</t>
        </is>
      </c>
      <c r="K34" t="inlineStr">
        <is>
          <t>High</t>
        </is>
      </c>
      <c r="L34" t="inlineStr">
        <is>
          <t>2026-04-24 21:05:08 ICT</t>
        </is>
      </c>
    </row>
    <row r="35">
      <c r="A35" t="inlineStr">
        <is>
          <t>B3</t>
        </is>
      </c>
      <c r="B35" t="n">
        <v>67</v>
      </c>
      <c r="C35" t="inlineStr">
        <is>
          <t>Dâu tây Đà Lạt</t>
        </is>
      </c>
      <c r="D35" t="inlineStr">
        <is>
          <t>Preservation guidance</t>
        </is>
      </c>
      <c r="E35" t="inlineStr">
        <is>
          <t>Trái dâu tây không bảo quản được lâu, nên bảo quản và vận chuyển trong điều kiện lạnh sau thu hoạch.</t>
        </is>
      </c>
      <c r="F35" t="inlineStr">
        <is>
          <t>Đà Lạt/Lâm Đồng</t>
        </is>
      </c>
      <c r="G35" t="inlineStr">
        <is>
          <t>Quy trình kỹ thuật trồng cây dâu tây</t>
        </is>
      </c>
      <c r="H35" t="inlineStr">
        <is>
          <t>Khuyến nông Lâm Đồng</t>
        </is>
      </c>
      <c r="I35" t="inlineStr">
        <is>
          <t>https://khuyennong.lamdong.gov.vn/ky-thuat-trong-trot/ki-thuat-trong-rau/865-quy-trinh-k-thut-trng-cay-dau-tay</t>
        </is>
      </c>
      <c r="K35" t="inlineStr">
        <is>
          <t>High</t>
        </is>
      </c>
      <c r="L35" t="inlineStr">
        <is>
          <t>2026-04-24 21:05:08 ICT</t>
        </is>
      </c>
    </row>
    <row r="36">
      <c r="A36" t="inlineStr">
        <is>
          <t>B3</t>
        </is>
      </c>
      <c r="B36" t="n">
        <v>67</v>
      </c>
      <c r="C36" t="inlineStr">
        <is>
          <t>Dâu tây Đà Lạt</t>
        </is>
      </c>
      <c r="D36" t="inlineStr">
        <is>
          <t>Flavor / texture context</t>
        </is>
      </c>
      <c r="E36" t="inlineStr">
        <is>
          <t>Các giống tại Đà Lạt/Lạc Dương có mô tả như Mỹ Hương ngọt thơm, New Zealand giòn ngọt thơm, Akihime mềm thơm.</t>
        </is>
      </c>
      <c r="F36" t="inlineStr">
        <is>
          <t>Đà Lạt/Lâm Đồng</t>
        </is>
      </c>
      <c r="G36" t="inlineStr">
        <is>
          <t>Dâu tây Đà Lạt với những biện pháp quản lý dịch hại mới</t>
        </is>
      </c>
      <c r="H36" t="inlineStr">
        <is>
          <t>Khuyến nông Lâm Đồng</t>
        </is>
      </c>
      <c r="I36" t="inlineStr">
        <is>
          <t>https://khuyennong.lamdong.gov.vn/tin-tuc-su-kien/1518-dau-tay-da-lat-voi-nhung-bien-phap-quan-ly-dich-hai-moi</t>
        </is>
      </c>
      <c r="K36" t="inlineStr">
        <is>
          <t>High</t>
        </is>
      </c>
      <c r="L36" t="inlineStr">
        <is>
          <t>2026-04-24 21:05:08 ICT</t>
        </is>
      </c>
      <c r="M36" t="inlineStr">
        <is>
          <t>Flavor/texture phụ thuộc giống cụ thể; catalog chỉ ghi Dâu tây Đà Lạt nên cần giữ ở mức tổng quát.</t>
        </is>
      </c>
    </row>
    <row r="37">
      <c r="A37" t="inlineStr">
        <is>
          <t>B3</t>
        </is>
      </c>
      <c r="B37" t="n">
        <v>72</v>
      </c>
      <c r="C37" t="inlineStr">
        <is>
          <t>Mít Thái siêu ngọt</t>
        </is>
      </c>
      <c r="D37" t="inlineStr">
        <is>
          <t>Origin/production context</t>
        </is>
      </c>
      <c r="E37" t="inlineStr">
        <is>
          <t>Tiền Giang có vùng mít Thái chuyên canh tại Cái Bè, Cai Lậy, Châu Thành, Tân Phước và TX Cai Lậy; gần 13.000 ha đang cho thu hoạch.</t>
        </is>
      </c>
      <c r="F37" t="inlineStr">
        <is>
          <t>Tiền Giang</t>
        </is>
      </c>
      <c r="G37" t="inlineStr">
        <is>
          <t>Phát triển vùng mít chuyên canh trên những địa bàn sản xuất khó khăn</t>
        </is>
      </c>
      <c r="H37" t="inlineStr">
        <is>
          <t>Cổng thông tin điện tử tỉnh Tiền Giang</t>
        </is>
      </c>
      <c r="I37" t="inlineStr">
        <is>
          <t>https://tiengiang.gov.vn/chi-tiet-tin/?%2Fphat-trien-vung-mit-chuyen-canh-tren-nhung-ia-ban-san-xuat-kho-khan%2F58616436=</t>
        </is>
      </c>
      <c r="K37" t="inlineStr">
        <is>
          <t>High</t>
        </is>
      </c>
      <c r="L37" t="inlineStr">
        <is>
          <t>2026-04-24 21:05:08 ICT</t>
        </is>
      </c>
    </row>
    <row r="38">
      <c r="A38" t="inlineStr">
        <is>
          <t>B3</t>
        </is>
      </c>
      <c r="B38" t="n">
        <v>117</v>
      </c>
      <c r="C38" t="inlineStr">
        <is>
          <t>Ổi xá lị</t>
        </is>
      </c>
      <c r="D38" t="inlineStr">
        <is>
          <t>Origin/locality status</t>
        </is>
      </c>
      <c r="E38" t="inlineStr">
        <is>
          <t>Catalog ghi Long An nhưng chưa tìm được nguồn kỹ thuật/nguồn nhà nước đủ mạnh riêng cho ổi xá lị Long An.</t>
        </is>
      </c>
      <c r="F38" t="inlineStr">
        <is>
          <t>Long An</t>
        </is>
      </c>
      <c r="G38" t="inlineStr">
        <is>
          <t>Lan tỏa phong trào khởi nghiệp</t>
        </is>
      </c>
      <c r="H38" t="inlineStr">
        <is>
          <t>Báo Long An</t>
        </is>
      </c>
      <c r="I38" t="inlineStr">
        <is>
          <t>https://baolongan.vn/lan-toa-phong-trao-khoi-nghiep-a41165.html</t>
        </is>
      </c>
      <c r="K38" t="inlineStr">
        <is>
          <t>Low</t>
        </is>
      </c>
      <c r="L38" t="inlineStr">
        <is>
          <t>2026-04-24 21:05:08 ICT</t>
        </is>
      </c>
      <c r="M38" t="inlineStr">
        <is>
          <t>Chỉ xác nhận mô hình trồng ổi tại Long An ở mức báo địa phương; chưa đủ để chốt mùa vụ.</t>
        </is>
      </c>
    </row>
    <row r="39">
      <c r="A39" t="inlineStr">
        <is>
          <t>B3</t>
        </is>
      </c>
      <c r="B39" t="n">
        <v>120</v>
      </c>
      <c r="C39" t="inlineStr">
        <is>
          <t>Sầu riêng Ri6</t>
        </is>
      </c>
      <c r="D39" t="inlineStr">
        <is>
          <t>Origin/brand context</t>
        </is>
      </c>
      <c r="E39" t="inlineStr">
        <is>
          <t>Đắk Lắk có nhãn hiệu 'Sầu riêng Krông Pắc' và 'Sầu riêng Cư M’gar'; Ri6 được nhắc cùng nhóm giống chất lượng như Dona, Cái Mơn.</t>
        </is>
      </c>
      <c r="F39" t="inlineStr">
        <is>
          <t>Đắk Lắk</t>
        </is>
      </c>
      <c r="G39" t="inlineStr">
        <is>
          <t>Tỉnh Đắk Lắk tổ chức hội nghị tổng kết ngành hàng sầu riêng năm 2023, phương hướng nhiệm vụ năm 2024</t>
        </is>
      </c>
      <c r="H39" t="inlineStr">
        <is>
          <t>Sở Công Thương Đắk Lắk</t>
        </is>
      </c>
      <c r="I39" t="inlineStr">
        <is>
          <t>https://socongthuong.daklak.gov.vn/vi/news/hoat-dong-nganh-cong-thuong/to-chuc-hoi-nghi-tong-ket-nganh-hang-sau-rieng-nam-2023-phuong-huong-nhiem-vu-nam-2024-4961.html</t>
        </is>
      </c>
      <c r="K39" t="inlineStr">
        <is>
          <t>High</t>
        </is>
      </c>
      <c r="L39" t="inlineStr">
        <is>
          <t>2026-04-24 21:05:08 ICT</t>
        </is>
      </c>
      <c r="M39" t="inlineStr">
        <is>
          <t>Nguồn xác nhận bối cảnh ngành hàng/nhãn hiệu địa phương; mùa vụ riêng Ri6 vẫn cần nguồn cultivar cụ thể.</t>
        </is>
      </c>
    </row>
    <row r="40">
      <c r="A40" t="inlineStr">
        <is>
          <t>B3</t>
        </is>
      </c>
      <c r="B40" t="n">
        <v>69</v>
      </c>
      <c r="C40" t="inlineStr">
        <is>
          <t>Đu đủ vàng</t>
        </is>
      </c>
      <c r="D40" t="inlineStr">
        <is>
          <t>Origin/seasonality context</t>
        </is>
      </c>
      <c r="E40" t="inlineStr">
        <is>
          <t>Bình Phước có đu đủ trong nhóm cây ăn trái hầu như cho thu hoạch quanh năm.</t>
        </is>
      </c>
      <c r="F40" t="inlineStr">
        <is>
          <t>Bình Phước</t>
        </is>
      </c>
      <c r="G40" t="inlineStr">
        <is>
          <t>Bình Phước có nhiều chủng loại cây ăn trái hầu như cho thu hoạch quanh năm</t>
        </is>
      </c>
      <c r="H40" t="inlineStr">
        <is>
          <t>Cổng thông tin điện tử tỉnh Bình Phước</t>
        </is>
      </c>
      <c r="I40" t="inlineStr">
        <is>
          <t>https://binhphuoc.gov.vn/vi/news/Hoat-dong-huyen-thi/phuoc-co-nhieu-chung-loai-cay-an-trai-hau-nhu-cho-thu-hoach-quanh-nam-21193.html</t>
        </is>
      </c>
      <c r="K40" t="inlineStr">
        <is>
          <t>High</t>
        </is>
      </c>
      <c r="L40" t="inlineStr">
        <is>
          <t>2026-04-24 21:05:08 ICT</t>
        </is>
      </c>
      <c r="M40" t="inlineStr">
        <is>
          <t>Chưa tìm được nguồn riêng cho giống đu đủ vàng tại Bình Phước.</t>
        </is>
      </c>
    </row>
    <row r="41">
      <c r="A41" t="inlineStr">
        <is>
          <t>B2</t>
        </is>
      </c>
      <c r="B41" t="n">
        <v>46</v>
      </c>
      <c r="C41" t="inlineStr">
        <is>
          <t>Khoai lang Nhật</t>
        </is>
      </c>
      <c r="D41" t="inlineStr">
        <is>
          <t>Origin/seasonality context</t>
        </is>
      </c>
      <c r="E41" t="inlineStr">
        <is>
          <t>Giống khoai lang Nhật đã được trồng tại Việt Nam; Bắc Giang có 2 vụ/năm, Tây Ninh có mô hình khoai lang tím Nhật vụ Đông Xuân.</t>
        </is>
      </c>
      <c r="F41" t="inlineStr">
        <is>
          <t>Bắc Giang; Tây Ninh</t>
        </is>
      </c>
      <c r="G41" t="inlineStr">
        <is>
          <t>Bắc Giang: Trồng khoai thu nhập trên 120 -150 triệu đồng/ha/vụ</t>
        </is>
      </c>
      <c r="H41" t="inlineStr">
        <is>
          <t>Trung tâm Khuyến nông Quốc gia</t>
        </is>
      </c>
      <c r="I41" t="inlineStr">
        <is>
          <t>https://khuyennongvn.gov.vn/chuong-trinh-nganh-nong-nghiep/tai-co-cau-nganh-nong-nghiep/bac-giang-trong-khoai-thu-nhap-tren-120-150-trieu-donghavu-15779.html</t>
        </is>
      </c>
      <c r="J41" t="inlineStr">
        <is>
          <t>2017-06-28</t>
        </is>
      </c>
      <c r="K41" t="inlineStr">
        <is>
          <t>High</t>
        </is>
      </c>
      <c r="L41" t="inlineStr">
        <is>
          <t>2026-04-24 21:12:38 ICT</t>
        </is>
      </c>
      <c r="M41" t="inlineStr">
        <is>
          <t>Chưa xác nhận GlobalGAP và chưa xác nhận SKU đang bán lấy từ vùng nào.</t>
        </is>
      </c>
    </row>
    <row r="42">
      <c r="A42" t="inlineStr">
        <is>
          <t>B2</t>
        </is>
      </c>
      <c r="B42" t="n">
        <v>52</v>
      </c>
      <c r="C42" t="inlineStr">
        <is>
          <t>Nấm hương khô</t>
        </is>
      </c>
      <c r="D42" t="inlineStr">
        <is>
          <t>Origin/processing context</t>
        </is>
      </c>
      <c r="E42" t="inlineStr">
        <is>
          <t>Trung Quốc là nguồn sản xuất lớn của nấm hương; FAO ghi có xuất khẩu nấm hương khô. Sản phẩm khô nên tính mùa vụ bán lẻ cần kiểm chứng theo lô/nhà cung cấp.</t>
        </is>
      </c>
      <c r="F42" t="inlineStr">
        <is>
          <t>Trung Quốc</t>
        </is>
      </c>
      <c r="G42" t="inlineStr">
        <is>
          <t>Non-Wood Forest Products in 15 Countries of Tropical Asia: An Overview</t>
        </is>
      </c>
      <c r="H42" t="inlineStr">
        <is>
          <t>FAO</t>
        </is>
      </c>
      <c r="I42" t="inlineStr">
        <is>
          <t>https://fao.org/docrep/fao/005/AB598E/AB598E00.pdf</t>
        </is>
      </c>
      <c r="J42" t="inlineStr">
        <is>
          <t>2002</t>
        </is>
      </c>
      <c r="K42" t="inlineStr">
        <is>
          <t>High</t>
        </is>
      </c>
      <c r="L42" t="inlineStr">
        <is>
          <t>2026-04-24 21:12:38 ICT</t>
        </is>
      </c>
      <c r="M42" t="inlineStr">
        <is>
          <t>Chưa xác nhận chứng nhận Organic và mùa vụ của SKU.</t>
        </is>
      </c>
    </row>
    <row r="43">
      <c r="A43" t="inlineStr">
        <is>
          <t>B2</t>
        </is>
      </c>
      <c r="B43" t="n">
        <v>52</v>
      </c>
      <c r="C43" t="inlineStr">
        <is>
          <t>Nấm hương khô</t>
        </is>
      </c>
      <c r="D43" t="inlineStr">
        <is>
          <t>Industry/current context</t>
        </is>
      </c>
      <c r="E43" t="inlineStr">
        <is>
          <t>People's Daily Online dẫn dữ liệu chính thức cho biết Trung Quốc sản xuất hơn 40 triệu tấn nấm ăn mỗi năm và Hubei/Suizhou có sản phẩm nấm hương chế biến/xuất khẩu.</t>
        </is>
      </c>
      <c r="F43" t="inlineStr">
        <is>
          <t>Trung Quốc</t>
        </is>
      </c>
      <c r="G43" t="inlineStr">
        <is>
          <t>China becomes world's largest producer, consumer of edible mushrooms</t>
        </is>
      </c>
      <c r="H43" t="inlineStr">
        <is>
          <t>People's Daily Online</t>
        </is>
      </c>
      <c r="I43" t="inlineStr">
        <is>
          <t>https://en.people.cn/n3/2025/0930/c98649-20373212.html</t>
        </is>
      </c>
      <c r="J43" t="inlineStr">
        <is>
          <t>2025-09-30</t>
        </is>
      </c>
      <c r="K43" t="inlineStr">
        <is>
          <t>Medium</t>
        </is>
      </c>
      <c r="L43" t="inlineStr">
        <is>
          <t>2026-04-24 21:12:38 ICT</t>
        </is>
      </c>
      <c r="M43" t="inlineStr">
        <is>
          <t>Nguồn sau ngày thu thập hiện tại theo hệ thống tìm kiếm; cần kiểm chứng lại khi dùng chính thức.</t>
        </is>
      </c>
    </row>
    <row r="44">
      <c r="A44" t="inlineStr">
        <is>
          <t>B2</t>
        </is>
      </c>
      <c r="B44" t="n">
        <v>53</v>
      </c>
      <c r="C44" t="inlineStr">
        <is>
          <t>Nấm linh chi đỏ</t>
        </is>
      </c>
      <c r="D44" t="inlineStr">
        <is>
          <t>Cultivation/preservation context</t>
        </is>
      </c>
      <c r="E44" t="inlineStr">
        <is>
          <t>Mô hình Hòa Bình cho thấy nấm linh chi đỏ thu hoạch theo lứa; quả thể sau thu hái được vệ sinh, cắt chân và sấy ở 40-45 độ C.</t>
        </is>
      </c>
      <c r="F44" t="inlineStr">
        <is>
          <t>Hòa Bình</t>
        </is>
      </c>
      <c r="G44" t="inlineStr">
        <is>
          <t>Hòa Bình: Trồng nấm linh chi trên giá thể gỗ keo tươi - mô hình kinh tế hiệu quả</t>
        </is>
      </c>
      <c r="H44" t="inlineStr">
        <is>
          <t>Trung tâm Khuyến nông Quốc gia</t>
        </is>
      </c>
      <c r="I44" t="inlineStr">
        <is>
          <t>https://khuyennongvn.gov.vn/chuong-trinh-nganh-nong-nghiep/tai-co-cau-nganh-nong-nghiep/hoa-binh-trong-nam-linh-chi-tren-gia-the-go-keo-tuoi--mo-hinh-kinh-te-hieu-qua-21892.html</t>
        </is>
      </c>
      <c r="J44" t="inlineStr">
        <is>
          <t>2022-06-13</t>
        </is>
      </c>
      <c r="K44" t="inlineStr">
        <is>
          <t>High</t>
        </is>
      </c>
      <c r="L44" t="inlineStr">
        <is>
          <t>2026-04-24 21:12:38 ICT</t>
        </is>
      </c>
      <c r="M44" t="inlineStr">
        <is>
          <t>Chưa xác nhận giống Hàn Quốc hoặc tiêu chuẩn dược liệu cụ thể của SKU.</t>
        </is>
      </c>
    </row>
    <row r="45">
      <c r="A45" t="inlineStr">
        <is>
          <t>B2</t>
        </is>
      </c>
      <c r="B45" t="n">
        <v>115</v>
      </c>
      <c r="C45" t="inlineStr">
        <is>
          <t>Tỏi tây</t>
        </is>
      </c>
      <c r="D45" t="inlineStr">
        <is>
          <t>Origin/seasonality context</t>
        </is>
      </c>
      <c r="E45" t="inlineStr">
        <is>
          <t>Tỏi tây thuộc nhóm Allium; nguồn ISHS xác nhận Allium là nhóm rau quan trọng và trồng rộng tại Trung Quốc, nhưng chưa đủ dữ liệu để chốt mùa tỏi tây Trung Quốc.</t>
        </is>
      </c>
      <c r="F45" t="inlineStr">
        <is>
          <t>Trung Quốc</t>
        </is>
      </c>
      <c r="G45" t="inlineStr">
        <is>
          <t>ALLIUM PRODUCTION AND RESEARCH IN CHINA</t>
        </is>
      </c>
      <c r="H45" t="inlineStr">
        <is>
          <t>International Society for Horticultural Science</t>
        </is>
      </c>
      <c r="I45" t="inlineStr">
        <is>
          <t>https://www.ishs.org/ishs-article/358_19</t>
        </is>
      </c>
      <c r="J45" t="inlineStr">
        <is>
          <t>1994</t>
        </is>
      </c>
      <c r="K45" t="inlineStr">
        <is>
          <t>Medium</t>
        </is>
      </c>
      <c r="L45" t="inlineStr">
        <is>
          <t>2026-04-24 21:12:38 ICT</t>
        </is>
      </c>
      <c r="M45" t="inlineStr">
        <is>
          <t>Nguồn chưa nói riêng tỏi tây; cần xác nhận với chứng từ nhập khẩu hoặc nhà cung cấp.</t>
        </is>
      </c>
    </row>
    <row r="46">
      <c r="A46" t="inlineStr">
        <is>
          <t>B2</t>
        </is>
      </c>
      <c r="B46" t="n">
        <v>121</v>
      </c>
      <c r="C46" t="inlineStr">
        <is>
          <t>khoai mỡ</t>
        </is>
      </c>
      <c r="D46" t="inlineStr">
        <is>
          <t>Origin/seasonality context</t>
        </is>
      </c>
      <c r="E46" t="inlineStr">
        <is>
          <t>Vĩnh Long có vùng trồng khoai mỡ tại Mang Thít; có mô hình VietGAP, xuống giống sau lúa Đông Xuân và thu sau khoảng 6 tháng.</t>
        </is>
      </c>
      <c r="F46" t="inlineStr">
        <is>
          <t>Vĩnh Long</t>
        </is>
      </c>
      <c r="G46" t="inlineStr">
        <is>
          <t>Vĩnh Long: Tuân thủ kỹ thuật canh tác - Cánh đồng khoai mỡ ngày càng mở rộng</t>
        </is>
      </c>
      <c r="H46" t="inlineStr">
        <is>
          <t>Trung tâm Khuyến nông Quốc gia</t>
        </is>
      </c>
      <c r="I46" t="inlineStr">
        <is>
          <t>https://khuyennongvn.gov.vn/chuong-trinh-nganh-nong-nghiep/tai-co-cau-nganh-nong-nghiep/vinh-long-tuan-thu-ky-thuat-canh-tac--canh-dong-khoai-mo-ngay-cang-mo-rong-19139.html</t>
        </is>
      </c>
      <c r="J46" t="inlineStr">
        <is>
          <t>2019-08-22</t>
        </is>
      </c>
      <c r="K46" t="inlineStr">
        <is>
          <t>High</t>
        </is>
      </c>
      <c r="L46" t="inlineStr">
        <is>
          <t>2026-04-24 21:12:38 ICT</t>
        </is>
      </c>
      <c r="M46" t="inlineStr">
        <is>
          <t>Catalog thiếu ProductInfo nên chưa đối chiếu được nguồn gốc sản phẩm nội bộ.</t>
        </is>
      </c>
    </row>
    <row r="47">
      <c r="A47" t="inlineStr">
        <is>
          <t>B2</t>
        </is>
      </c>
      <c r="B47" t="n">
        <v>122</v>
      </c>
      <c r="C47" t="inlineStr">
        <is>
          <t>Rau muống</t>
        </is>
      </c>
      <c r="D47" t="inlineStr">
        <is>
          <t>Cultivation/availability context</t>
        </is>
      </c>
      <c r="E47" t="inlineStr">
        <is>
          <t>Rau muống có thể sản xuất thủy canh tuần hoàn, thu hái nhiều lứa; nguồn không nêu origin hoặc tiêu chuẩn của sản phẩm trong catalog.</t>
        </is>
      </c>
      <c r="F47" t="inlineStr">
        <is>
          <t>Việt Nam</t>
        </is>
      </c>
      <c r="G47" t="inlineStr">
        <is>
          <t>Quy trình kỹ thuật sản xuất rau thủy canh tuần hoàn</t>
        </is>
      </c>
      <c r="H47" t="inlineStr">
        <is>
          <t>Trung tâm Khuyến nông Quốc gia</t>
        </is>
      </c>
      <c r="I47" t="inlineStr">
        <is>
          <t>https://khuyennongvn.gov.vn/ky-thuat-trong-trot/quy-trinh-ky-thuat-san-xuat-rau-thuy-canh-tuan-hoan-759.html</t>
        </is>
      </c>
      <c r="J47" t="inlineStr">
        <is>
          <t>2011-12-26</t>
        </is>
      </c>
      <c r="K47" t="inlineStr">
        <is>
          <t>High</t>
        </is>
      </c>
      <c r="L47" t="inlineStr">
        <is>
          <t>2026-04-24 21:12:38 ICT</t>
        </is>
      </c>
      <c r="M47" t="inlineStr">
        <is>
          <t>Catalog thiếu ProductInfo nên chưa đối chiếu được nguồn gốc/standard nội bộ.</t>
        </is>
      </c>
    </row>
  </sheetData>
  <autoFilter ref="A1:M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25" customWidth="1" min="1" max="1"/>
    <col width="56" customWidth="1" min="2" max="2"/>
    <col width="12" customWidth="1" min="3" max="3"/>
    <col width="56" customWidth="1" min="4" max="4"/>
    <col width="56" customWidth="1" min="5" max="5"/>
  </cols>
  <sheetData>
    <row r="1">
      <c r="A1" s="10" t="inlineStr">
        <is>
          <t>Field</t>
        </is>
      </c>
      <c r="B1" s="10" t="inlineStr">
        <is>
          <t>Current system usage</t>
        </is>
      </c>
      <c r="C1" s="10" t="inlineStr">
        <is>
          <t>Priority</t>
        </is>
      </c>
      <c r="D1" s="10" t="inlineStr">
        <is>
          <t>Why it matters</t>
        </is>
      </c>
      <c r="E1" s="10" t="inlineStr">
        <is>
          <t>Review guidance</t>
        </is>
      </c>
    </row>
    <row r="2">
      <c r="A2" s="9" t="inlineStr">
        <is>
          <t>Origin</t>
        </is>
      </c>
      <c r="B2" s="9" t="inlineStr">
        <is>
          <t>Directly used in recommendation scoring/reasons.</t>
        </is>
      </c>
      <c r="C2" s="9" t="inlineStr">
        <is>
          <t>High</t>
        </is>
      </c>
      <c r="D2" s="9" t="inlineStr">
        <is>
          <t>Supports locality, region-fit and seasonal explanations.</t>
        </is>
      </c>
      <c r="E2" s="9" t="inlineStr">
        <is>
          <t>Verify country + province/region from trusted origin sources.</t>
        </is>
      </c>
    </row>
    <row r="3">
      <c r="A3" s="9" t="inlineStr">
        <is>
          <t>Standard</t>
        </is>
      </c>
      <c r="B3" s="9" t="inlineStr">
        <is>
          <t>Used in content quality score.</t>
        </is>
      </c>
      <c r="C3" s="9" t="inlineStr">
        <is>
          <t>High</t>
        </is>
      </c>
      <c r="D3" s="9" t="inlineStr">
        <is>
          <t>Signals trust and product confidence.</t>
        </is>
      </c>
      <c r="E3" s="9" t="inlineStr">
        <is>
          <t>Only fill when an official or seller-backed standard can be verified.</t>
        </is>
      </c>
    </row>
    <row r="4">
      <c r="A4" s="9" t="inlineStr">
        <is>
          <t>Preservation</t>
        </is>
      </c>
      <c r="B4" s="9" t="inlineStr">
        <is>
          <t>Used in content quality score.</t>
        </is>
      </c>
      <c r="C4" s="9" t="inlineStr">
        <is>
          <t>High</t>
        </is>
      </c>
      <c r="D4" s="9" t="inlineStr">
        <is>
          <t>Impacts buyer guidance and freshness expectations.</t>
        </is>
      </c>
      <c r="E4" s="9" t="inlineStr">
        <is>
          <t>Prefer official product/commodity handling guidance from authoritative sources.</t>
        </is>
      </c>
    </row>
    <row r="5">
      <c r="A5" s="9" t="inlineStr">
        <is>
          <t>Weight</t>
        </is>
      </c>
      <c r="B5" s="9" t="inlineStr">
        <is>
          <t>Used in content quality score.</t>
        </is>
      </c>
      <c r="C5" s="9" t="inlineStr">
        <is>
          <t>Medium</t>
        </is>
      </c>
      <c r="D5" s="9" t="inlineStr">
        <is>
          <t>May affect product comparability, but can be pack-size specific.</t>
        </is>
      </c>
      <c r="E5" s="9" t="inlineStr">
        <is>
          <t>Review against internal seller data first; external web may not reflect exact pack size.</t>
        </is>
      </c>
    </row>
    <row r="6">
      <c r="A6" s="9" t="inlineStr">
        <is>
          <t>Flavor profile</t>
        </is>
      </c>
      <c r="B6" s="9" t="inlineStr">
        <is>
          <t>Currently derived heuristically from text.</t>
        </is>
      </c>
      <c r="C6" s="9" t="inlineStr">
        <is>
          <t>Medium</t>
        </is>
      </c>
      <c r="D6" s="9" t="inlineStr">
        <is>
          <t>Can improve explanation quality.</t>
        </is>
      </c>
      <c r="E6" s="9" t="inlineStr">
        <is>
          <t>Only normalize when product-specific descriptors are supported by trusted commodity references.</t>
        </is>
      </c>
    </row>
    <row r="7">
      <c r="A7" s="9" t="inlineStr">
        <is>
          <t>Texture profile</t>
        </is>
      </c>
      <c r="B7" s="9" t="inlineStr">
        <is>
          <t>Currently derived heuristically from text.</t>
        </is>
      </c>
      <c r="C7" s="9" t="inlineStr">
        <is>
          <t>Medium</t>
        </is>
      </c>
      <c r="D7" s="9" t="inlineStr">
        <is>
          <t>Can improve recommendation reasons.</t>
        </is>
      </c>
      <c r="E7" s="9" t="inlineStr">
        <is>
          <t>Keep generic unless supported by authoritative product references.</t>
        </is>
      </c>
    </row>
    <row r="8">
      <c r="A8" s="9" t="inlineStr">
        <is>
          <t>Usage profile</t>
        </is>
      </c>
      <c r="B8" s="9" t="inlineStr">
        <is>
          <t>Currently derived heuristically from text.</t>
        </is>
      </c>
      <c r="C8" s="9" t="inlineStr">
        <is>
          <t>Medium</t>
        </is>
      </c>
      <c r="D8" s="9" t="inlineStr">
        <is>
          <t>Can support better buyer-facing suggestions.</t>
        </is>
      </c>
      <c r="E8" s="9" t="inlineStr">
        <is>
          <t>Prefer broad, well-supported culinary uses over subjective claims.</t>
        </is>
      </c>
    </row>
    <row r="9">
      <c r="A9" s="9" t="inlineStr">
        <is>
          <t>Seasonality by locality</t>
        </is>
      </c>
      <c r="B9" s="9" t="inlineStr">
        <is>
          <t>Not stored authoritatively today; current app uses heuristic month+keyword matching.</t>
        </is>
      </c>
      <c r="C9" s="9" t="inlineStr">
        <is>
          <t>Critical</t>
        </is>
      </c>
      <c r="D9" s="9" t="inlineStr">
        <is>
          <t>Main gap for `đúng mùa` recommendations.</t>
        </is>
      </c>
      <c r="E9" s="9" t="inlineStr">
        <is>
          <t>Record one evidence row per locality/window; do not collapse multiple windows into one.</t>
        </is>
      </c>
    </row>
    <row r="10">
      <c r="A10" s="9" t="inlineStr">
        <is>
          <t>Peak harvest windows</t>
        </is>
      </c>
      <c r="B10" s="9" t="inlineStr">
        <is>
          <t>Not modeled directly.</t>
        </is>
      </c>
      <c r="C10" s="9" t="inlineStr">
        <is>
          <t>Critical</t>
        </is>
      </c>
      <c r="D10" s="9" t="inlineStr">
        <is>
          <t>Allows stronger `đúng mùa` ranking and explanation.</t>
        </is>
      </c>
      <c r="E10" s="9" t="inlineStr">
        <is>
          <t>Capture peak months separately from wider availability windows.</t>
        </is>
      </c>
    </row>
    <row r="11">
      <c r="A11" s="9" t="inlineStr">
        <is>
          <t>Domestic/Imported</t>
        </is>
      </c>
      <c r="B11" s="9" t="inlineStr">
        <is>
          <t>Inferred loosely from origin text today.</t>
        </is>
      </c>
      <c r="C11" s="9" t="inlineStr">
        <is>
          <t>High</t>
        </is>
      </c>
      <c r="D11" s="9" t="inlineStr">
        <is>
          <t>Changes source policy and recommendation trust.</t>
        </is>
      </c>
      <c r="E11" s="9" t="inlineStr">
        <is>
          <t>Normalize based on verified origin, not naming alone.</t>
        </is>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2026-04-24T04:34:10Z</dcterms:created>
  <dcterms:modified xmlns:dcterms="http://purl.org/dc/terms/" xmlns:xsi="http://www.w3.org/2001/XMLSchema-instance" xsi:type="dcterms:W3CDTF">2026-04-24T14:14:16Z</dcterms:modified>
</cp:coreProperties>
</file>